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catensys-my.sharepoint.com/personal/huemmkma_catensys_com/Documents/Dokumente/"/>
    </mc:Choice>
  </mc:AlternateContent>
  <xr:revisionPtr revIDLastSave="0" documentId="8_{DF7F4935-AB1D-4BEC-9E36-413D396D08BA}" xr6:coauthVersionLast="47" xr6:coauthVersionMax="47" xr10:uidLastSave="{00000000-0000-0000-0000-000000000000}"/>
  <bookViews>
    <workbookView xWindow="-28920" yWindow="-45" windowWidth="29040" windowHeight="17520" xr2:uid="{00000000-000D-0000-FFFF-FFFF00000000}"/>
  </bookViews>
  <sheets>
    <sheet name="KNVV--BSEG" sheetId="1" r:id="rId1"/>
    <sheet name="PaymentTerms in SAP" sheetId="2" r:id="rId2"/>
  </sheets>
  <externalReferences>
    <externalReference r:id="rId3"/>
  </externalReferences>
  <definedNames>
    <definedName name="_xlnm._FilterDatabase" localSheetId="0" hidden="1">'KNVV--BSEG'!$A$1:$M$36</definedName>
    <definedName name="_xlnm._FilterDatabase" localSheetId="1" hidden="1">'PaymentTerms in SAP'!$A$1:$D$309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D180" i="2"/>
  <c r="D174" i="2"/>
  <c r="D172" i="2"/>
  <c r="D168" i="2"/>
  <c r="D164" i="2"/>
  <c r="D165" i="2"/>
  <c r="D166" i="2"/>
  <c r="D167" i="2"/>
  <c r="D163" i="2"/>
  <c r="D158" i="2"/>
  <c r="D111" i="2"/>
  <c r="D98" i="2"/>
  <c r="D96" i="2"/>
  <c r="D94" i="2"/>
  <c r="D88" i="2"/>
  <c r="D84" i="2"/>
  <c r="D8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2" i="2"/>
  <c r="D306" i="2"/>
  <c r="D293" i="2"/>
  <c r="D246" i="2"/>
  <c r="D21" i="2"/>
  <c r="D298" i="2"/>
  <c r="D297" i="2"/>
  <c r="D296" i="2"/>
  <c r="D287" i="2"/>
  <c r="D283" i="2"/>
  <c r="D279" i="2"/>
  <c r="D277" i="2"/>
  <c r="D276" i="2"/>
  <c r="D238" i="2"/>
  <c r="D65" i="2"/>
  <c r="D64" i="2"/>
  <c r="D63" i="2"/>
  <c r="D60" i="2"/>
  <c r="D56" i="2"/>
  <c r="D55" i="2"/>
  <c r="D49" i="2"/>
  <c r="D48" i="2"/>
  <c r="D47" i="2"/>
  <c r="D44" i="2"/>
  <c r="D42" i="2"/>
  <c r="D40" i="2"/>
  <c r="D36" i="2"/>
  <c r="D35" i="2"/>
  <c r="D2" i="2"/>
</calcChain>
</file>

<file path=xl/sharedStrings.xml><?xml version="1.0" encoding="utf-8"?>
<sst xmlns="http://schemas.openxmlformats.org/spreadsheetml/2006/main" count="759" uniqueCount="387">
  <si>
    <t>7604</t>
  </si>
  <si>
    <t>1012568</t>
  </si>
  <si>
    <t>0439</t>
  </si>
  <si>
    <t>0540</t>
  </si>
  <si>
    <t>56890</t>
  </si>
  <si>
    <t>90767</t>
  </si>
  <si>
    <t>AUTO</t>
  </si>
  <si>
    <t>1012433</t>
  </si>
  <si>
    <t>Z001</t>
  </si>
  <si>
    <t>0430</t>
  </si>
  <si>
    <t>1012688</t>
  </si>
  <si>
    <t>1012603</t>
  </si>
  <si>
    <t>100167</t>
  </si>
  <si>
    <t>77865</t>
  </si>
  <si>
    <t>76066</t>
  </si>
  <si>
    <t>Z170</t>
  </si>
  <si>
    <t>1012588</t>
  </si>
  <si>
    <t>77944</t>
  </si>
  <si>
    <t>93762</t>
  </si>
  <si>
    <t>69670</t>
  </si>
  <si>
    <t>0460</t>
  </si>
  <si>
    <t>69472</t>
  </si>
  <si>
    <t>90577</t>
  </si>
  <si>
    <t>102378</t>
  </si>
  <si>
    <t>69886</t>
  </si>
  <si>
    <t>1012598</t>
  </si>
  <si>
    <t>1012393</t>
  </si>
  <si>
    <t>1012693</t>
  </si>
  <si>
    <t>Z005</t>
  </si>
  <si>
    <t>1012689</t>
  </si>
  <si>
    <t>0535</t>
  </si>
  <si>
    <t>0520</t>
  </si>
  <si>
    <t>90152</t>
  </si>
  <si>
    <t>ZI02</t>
  </si>
  <si>
    <t>103054</t>
  </si>
  <si>
    <t>69896</t>
  </si>
  <si>
    <t>ZI03</t>
  </si>
  <si>
    <t>103053</t>
  </si>
  <si>
    <t>0201</t>
  </si>
  <si>
    <t>103056</t>
  </si>
  <si>
    <t>102716</t>
  </si>
  <si>
    <t>6100</t>
  </si>
  <si>
    <t>89654</t>
  </si>
  <si>
    <t>103052</t>
  </si>
  <si>
    <t>Z910</t>
  </si>
  <si>
    <t>0008</t>
  </si>
  <si>
    <t>1012484</t>
  </si>
  <si>
    <t>76085</t>
  </si>
  <si>
    <t>97570</t>
  </si>
  <si>
    <t>1012483</t>
  </si>
  <si>
    <t>103310</t>
  </si>
  <si>
    <t>103309</t>
  </si>
  <si>
    <t>7709</t>
  </si>
  <si>
    <t>0640</t>
  </si>
  <si>
    <t>7705</t>
  </si>
  <si>
    <t>Z103</t>
  </si>
  <si>
    <t>3760</t>
  </si>
  <si>
    <t>7708</t>
  </si>
  <si>
    <t>7723</t>
  </si>
  <si>
    <t>3350</t>
  </si>
  <si>
    <t>0580</t>
  </si>
  <si>
    <t>Z131</t>
  </si>
  <si>
    <t>0001</t>
  </si>
  <si>
    <t>6720</t>
  </si>
  <si>
    <t>0529</t>
  </si>
  <si>
    <t>3700</t>
  </si>
  <si>
    <t>Z105</t>
  </si>
  <si>
    <t>0560</t>
  </si>
  <si>
    <t>ZZ52</t>
  </si>
  <si>
    <t>0527</t>
  </si>
  <si>
    <t>3480</t>
  </si>
  <si>
    <t>ZI01</t>
  </si>
  <si>
    <t>6740</t>
  </si>
  <si>
    <t>7602</t>
  </si>
  <si>
    <t>0480</t>
  </si>
  <si>
    <t>0528</t>
  </si>
  <si>
    <t>6540</t>
  </si>
  <si>
    <t>Z227</t>
  </si>
  <si>
    <t>3720</t>
  </si>
  <si>
    <t>3600</t>
  </si>
  <si>
    <t>0600</t>
  </si>
  <si>
    <t>3690</t>
  </si>
  <si>
    <t>6620</t>
  </si>
  <si>
    <t>0200</t>
  </si>
  <si>
    <t>Customer</t>
  </si>
  <si>
    <t>Company Code</t>
  </si>
  <si>
    <t>PayT</t>
  </si>
  <si>
    <t>Own explanation</t>
  </si>
  <si>
    <t>Payable immediately Due net</t>
  </si>
  <si>
    <t>0002</t>
  </si>
  <si>
    <t>within 14 days 2 % cash discount</t>
  </si>
  <si>
    <t>within 30 days Due net</t>
  </si>
  <si>
    <t>0003</t>
  </si>
  <si>
    <t>within 14 days 3 % cash discount</t>
  </si>
  <si>
    <t>within 20 days 2 % cash discount</t>
  </si>
  <si>
    <t>0004</t>
  </si>
  <si>
    <t>Baseline date on End of the month</t>
  </si>
  <si>
    <t>0005</t>
  </si>
  <si>
    <t>Baseline date on 10 of next month</t>
  </si>
  <si>
    <t>0006</t>
  </si>
  <si>
    <t>Before End of the month 4 % cash discount</t>
  </si>
  <si>
    <t>Before 15 of the next month ;; 2 % cash discount</t>
  </si>
  <si>
    <t>Before 15 in 2 months Due net</t>
  </si>
  <si>
    <t>0007</t>
  </si>
  <si>
    <t>For Invoicing up to 15 of Month</t>
  </si>
  <si>
    <t xml:space="preserve">  Before 15 of the next month ;; 2 % cash discount</t>
  </si>
  <si>
    <t xml:space="preserve">  Before End of the next month ;; Due net</t>
  </si>
  <si>
    <t>For Invoicing up to End  of Month</t>
  </si>
  <si>
    <t xml:space="preserve">  Before End of the next month ;; 2 % cash discoun</t>
  </si>
  <si>
    <t xml:space="preserve">  Before 15 in 2 months Due net</t>
  </si>
  <si>
    <t xml:space="preserve">  within 14 days 2 % cash discount</t>
  </si>
  <si>
    <t xml:space="preserve">  within 30 days 1.5 % cash discount</t>
  </si>
  <si>
    <t xml:space="preserve">  within 45 days Due net</t>
  </si>
  <si>
    <t xml:space="preserve">  Baseline date on 30 of the month</t>
  </si>
  <si>
    <t xml:space="preserve">  Baseline date on 15 of next month</t>
  </si>
  <si>
    <t>0009</t>
  </si>
  <si>
    <t>Payable in 3 partial amounts</t>
  </si>
  <si>
    <t>1 installment: 30.000 % with payment term 0001</t>
  </si>
  <si>
    <t>2 installment: 40.000 % with payment term 0001</t>
  </si>
  <si>
    <t>3 installment: 30.000 % with payment term 0001</t>
  </si>
  <si>
    <t>within 14 days Due net</t>
  </si>
  <si>
    <t>0450</t>
  </si>
  <si>
    <t>within 20 days Due net</t>
  </si>
  <si>
    <t>0455</t>
  </si>
  <si>
    <t>within 25 days Due net</t>
  </si>
  <si>
    <t>0475</t>
  </si>
  <si>
    <t>within 31 days Due net</t>
  </si>
  <si>
    <t>within 35 days Due net</t>
  </si>
  <si>
    <t>0500</t>
  </si>
  <si>
    <t>within 40 days Due net</t>
  </si>
  <si>
    <t>within 45 days Due net</t>
  </si>
  <si>
    <t>0525</t>
  </si>
  <si>
    <t>within 55 days Due net</t>
  </si>
  <si>
    <t>0526</t>
  </si>
  <si>
    <t>within 33 days Due net</t>
  </si>
  <si>
    <t>within 110 days Due net</t>
  </si>
  <si>
    <t>within 80 days Due net</t>
  </si>
  <si>
    <t>within 90 days Due net</t>
  </si>
  <si>
    <t>0530</t>
  </si>
  <si>
    <t>within 50 days Due net</t>
  </si>
  <si>
    <t>0531</t>
  </si>
  <si>
    <t>0532</t>
  </si>
  <si>
    <t>within 65 days Due net</t>
  </si>
  <si>
    <t>0533</t>
  </si>
  <si>
    <t>within 47 days Due net</t>
  </si>
  <si>
    <t>0534</t>
  </si>
  <si>
    <t>within 60 days Due net</t>
  </si>
  <si>
    <t>0545</t>
  </si>
  <si>
    <t>within 70 days Due net</t>
  </si>
  <si>
    <t>0546</t>
  </si>
  <si>
    <t>0550</t>
  </si>
  <si>
    <t>within 105 days Due net</t>
  </si>
  <si>
    <t>within 75 days Due net</t>
  </si>
  <si>
    <t>0561</t>
  </si>
  <si>
    <t>within 44 days Due net</t>
  </si>
  <si>
    <t>0570</t>
  </si>
  <si>
    <t>within 85 days Due net</t>
  </si>
  <si>
    <t>within 120 days Due net</t>
  </si>
  <si>
    <t>within 180 days Due net</t>
  </si>
  <si>
    <t>Before End of the month Aft. 45 Days Due net</t>
  </si>
  <si>
    <t>within 22 days Due net</t>
  </si>
  <si>
    <t>within 10 days 4 % cash discount</t>
  </si>
  <si>
    <t>within 7 days 4 % cash discount</t>
  </si>
  <si>
    <t>within 15 days 2 % cash discount</t>
  </si>
  <si>
    <t>within 60 days 3 % cash discount</t>
  </si>
  <si>
    <t>within 53 days Due net</t>
  </si>
  <si>
    <t>Before 15 of the next month ;; Due net</t>
  </si>
  <si>
    <t>Before 20 of the next month ;; Due net</t>
  </si>
  <si>
    <t>Before 25 of the next month ;; Due net</t>
  </si>
  <si>
    <t>Before 25 of the next month ;; 2 % cash discount</t>
  </si>
  <si>
    <t>Before End of the next month ;; Due net</t>
  </si>
  <si>
    <t>Before End of the next month ;; 2 % cash discount</t>
  </si>
  <si>
    <t>within 63 days Due net</t>
  </si>
  <si>
    <t xml:space="preserve">  Before 2 in 2 months Due net</t>
  </si>
  <si>
    <t xml:space="preserve">  Before 20 in 2 months Due net</t>
  </si>
  <si>
    <t xml:space="preserve">  Before 1 in 3 months Due net</t>
  </si>
  <si>
    <t xml:space="preserve">  Before 15 in 3 months Due net</t>
  </si>
  <si>
    <t xml:space="preserve">  Before 25 in 3 months Due net</t>
  </si>
  <si>
    <t>Before End in 3 months Due net</t>
  </si>
  <si>
    <t xml:space="preserve">  Before End in 4 months Due net</t>
  </si>
  <si>
    <t>Before End in 4 months Due net</t>
  </si>
  <si>
    <t>For Invoicing up to 16 of Month</t>
  </si>
  <si>
    <t xml:space="preserve">  Before End in 2 months Due net</t>
  </si>
  <si>
    <t>For Invoicing up to 02 of Month</t>
  </si>
  <si>
    <t xml:space="preserve">  Before 13 of the next month ;; Due net</t>
  </si>
  <si>
    <t>For Invoicing up to 07 of Month</t>
  </si>
  <si>
    <t xml:space="preserve">  Before 19 of the next month ;; Due net</t>
  </si>
  <si>
    <t>For Invoicing up to 11 of Month</t>
  </si>
  <si>
    <t xml:space="preserve">  Before 25 of the next month ;; Due net</t>
  </si>
  <si>
    <t>For Invoicing up to 19 of Month</t>
  </si>
  <si>
    <t xml:space="preserve">  Before 1 in 2 months Due net</t>
  </si>
  <si>
    <t>For Invoicing up to 27 of Month</t>
  </si>
  <si>
    <t xml:space="preserve">  Before 7 in 2 months Due net</t>
  </si>
  <si>
    <t xml:space="preserve">  Before 13 in 2 months Due net</t>
  </si>
  <si>
    <t>For Invoicing up to 05 of Month</t>
  </si>
  <si>
    <t>For Invoicing up to 09 of Month</t>
  </si>
  <si>
    <t>For Invoicing up to 23 of Month</t>
  </si>
  <si>
    <t>For Invoicing up to 25 of Month</t>
  </si>
  <si>
    <t>For Invoicing up to 06 of Month</t>
  </si>
  <si>
    <t xml:space="preserve">  Before 9 of the next month ;; Due net</t>
  </si>
  <si>
    <t>For Invoicing up to 13 of Month</t>
  </si>
  <si>
    <t>For Invoicing up to 18 of Month</t>
  </si>
  <si>
    <t xml:space="preserve">  Before 9 in 2 months Due net</t>
  </si>
  <si>
    <t xml:space="preserve">  Before End in 3 months Due net</t>
  </si>
  <si>
    <t xml:space="preserve">  Before 10 in 2 months Due net</t>
  </si>
  <si>
    <t xml:space="preserve">  Before 10 in 3 months Due net</t>
  </si>
  <si>
    <t>Before 20 in 3 months Due net</t>
  </si>
  <si>
    <t>Before 25 in 2 months Due net</t>
  </si>
  <si>
    <t>Before 25 in 3 months Due net</t>
  </si>
  <si>
    <t>within 64 days Due net</t>
  </si>
  <si>
    <t xml:space="preserve">  Before 21 of the next month ;; Due net</t>
  </si>
  <si>
    <t xml:space="preserve">  Before End of the month Due net</t>
  </si>
  <si>
    <t xml:space="preserve">  Before 15 of the next month ;; Due net</t>
  </si>
  <si>
    <t xml:space="preserve">  Before 20 of the next month ;; Due net</t>
  </si>
  <si>
    <t>Baseline date on 25. of next month</t>
  </si>
  <si>
    <t>E002</t>
  </si>
  <si>
    <t>Before 2 of the next month ;; Due net</t>
  </si>
  <si>
    <t>E015</t>
  </si>
  <si>
    <t>E030</t>
  </si>
  <si>
    <t>Before 2 in 2 months Due net</t>
  </si>
  <si>
    <t>E045</t>
  </si>
  <si>
    <t>E060</t>
  </si>
  <si>
    <t>Before 2 in 3 months Due net</t>
  </si>
  <si>
    <t>E075</t>
  </si>
  <si>
    <t>Before 15 in 3 months Due net</t>
  </si>
  <si>
    <t>E090</t>
  </si>
  <si>
    <t>Before 2 in 4 months Due net</t>
  </si>
  <si>
    <t>E105</t>
  </si>
  <si>
    <t>Before End of the month Aft. 105 Days Due net</t>
  </si>
  <si>
    <t>E150</t>
  </si>
  <si>
    <t>within 150 days Due net</t>
  </si>
  <si>
    <t>E202</t>
  </si>
  <si>
    <t>Before 2 of the next month ;; 2 % cash discount</t>
  </si>
  <si>
    <t>E215</t>
  </si>
  <si>
    <t>E302</t>
  </si>
  <si>
    <t>Before 2 of the next month ;; 3 % cash discount</t>
  </si>
  <si>
    <t>E315</t>
  </si>
  <si>
    <t>Before 15 of the next month ;; 3 % cash discount</t>
  </si>
  <si>
    <t>E60</t>
  </si>
  <si>
    <t>E75</t>
  </si>
  <si>
    <t>E90</t>
  </si>
  <si>
    <t>X000</t>
  </si>
  <si>
    <t>X004</t>
  </si>
  <si>
    <t>within 8 days Due net</t>
  </si>
  <si>
    <t>X006</t>
  </si>
  <si>
    <t>X016</t>
  </si>
  <si>
    <t>X023</t>
  </si>
  <si>
    <t>X027</t>
  </si>
  <si>
    <t>X038</t>
  </si>
  <si>
    <t>X040</t>
  </si>
  <si>
    <t>X080</t>
  </si>
  <si>
    <t>X081</t>
  </si>
  <si>
    <t>X091</t>
  </si>
  <si>
    <t>X303</t>
  </si>
  <si>
    <t>X304</t>
  </si>
  <si>
    <t>X305</t>
  </si>
  <si>
    <t>X308</t>
  </si>
  <si>
    <t>within 30 days 2 % cash discount</t>
  </si>
  <si>
    <t>X312</t>
  </si>
  <si>
    <t>within 30 days 3 % cash discount</t>
  </si>
  <si>
    <t>X315</t>
  </si>
  <si>
    <t>within 60 days 2 % cash discount</t>
  </si>
  <si>
    <t>Z002</t>
  </si>
  <si>
    <t>Z003</t>
  </si>
  <si>
    <t>Z004</t>
  </si>
  <si>
    <t>Z006</t>
  </si>
  <si>
    <t>Z007</t>
  </si>
  <si>
    <t>Z008</t>
  </si>
  <si>
    <t>Z009</t>
  </si>
  <si>
    <t>Payable in partial amounts</t>
  </si>
  <si>
    <t>Z010</t>
  </si>
  <si>
    <t>Z047</t>
  </si>
  <si>
    <t>Z069</t>
  </si>
  <si>
    <t>Z084</t>
  </si>
  <si>
    <t>Z091</t>
  </si>
  <si>
    <t>90 d end of month,payment on 2. of following month</t>
  </si>
  <si>
    <t>Z100</t>
  </si>
  <si>
    <t>Z109</t>
  </si>
  <si>
    <t>Z139</t>
  </si>
  <si>
    <t>Z153</t>
  </si>
  <si>
    <t>Z168</t>
  </si>
  <si>
    <t>Z205</t>
  </si>
  <si>
    <t>Before 30 of the next month ;; 3 % cash discount</t>
  </si>
  <si>
    <t>within 61 days Due net</t>
  </si>
  <si>
    <t>Z225</t>
  </si>
  <si>
    <t>Z230</t>
  </si>
  <si>
    <t>Z231</t>
  </si>
  <si>
    <t>Z232</t>
  </si>
  <si>
    <t>Z401</t>
  </si>
  <si>
    <t>Z439</t>
  </si>
  <si>
    <t>ZI04</t>
  </si>
  <si>
    <t>ZJE4</t>
  </si>
  <si>
    <t>ZJE6</t>
  </si>
  <si>
    <t>ZJF1</t>
  </si>
  <si>
    <t>Customer Name</t>
    <phoneticPr fontId="2" type="noConversion"/>
  </si>
  <si>
    <t>CATENSYS India Pvt. Ltd.</t>
  </si>
  <si>
    <t>CATENSYS Korea LLC</t>
  </si>
  <si>
    <t>CATENSYS FRANCE S.A.S.</t>
  </si>
  <si>
    <t>1011</t>
  </si>
  <si>
    <t>1284</t>
  </si>
  <si>
    <t>1310</t>
  </si>
  <si>
    <t>1311</t>
  </si>
  <si>
    <t>1385</t>
  </si>
  <si>
    <t>1606</t>
  </si>
  <si>
    <t>1940</t>
  </si>
  <si>
    <t>2024</t>
  </si>
  <si>
    <t>3330</t>
  </si>
  <si>
    <t>3360</t>
  </si>
  <si>
    <t>3440</t>
  </si>
  <si>
    <t>3481</t>
  </si>
  <si>
    <t>3500</t>
  </si>
  <si>
    <t>3640</t>
  </si>
  <si>
    <t>3663</t>
  </si>
  <si>
    <t>3670</t>
  </si>
  <si>
    <t>3780</t>
  </si>
  <si>
    <t>3800</t>
  </si>
  <si>
    <t>3810</t>
  </si>
  <si>
    <t>3820</t>
  </si>
  <si>
    <t>3900</t>
  </si>
  <si>
    <t>6000</t>
  </si>
  <si>
    <t>6110</t>
  </si>
  <si>
    <t>6115</t>
  </si>
  <si>
    <t>6120</t>
  </si>
  <si>
    <t>6130</t>
  </si>
  <si>
    <t>6140</t>
  </si>
  <si>
    <t>6420</t>
  </si>
  <si>
    <t>6480</t>
  </si>
  <si>
    <t>6600</t>
  </si>
  <si>
    <t>7707</t>
  </si>
  <si>
    <t>7718</t>
  </si>
  <si>
    <t>7724</t>
  </si>
  <si>
    <t>7730</t>
  </si>
  <si>
    <t>7735</t>
  </si>
  <si>
    <t>7747</t>
  </si>
  <si>
    <t>7756</t>
  </si>
  <si>
    <t>8040</t>
  </si>
  <si>
    <t>30th of the 2nd month net</t>
  </si>
  <si>
    <t>CATENSYS Chain Drive (Nanjing)</t>
  </si>
  <si>
    <t>CATENSYS India Pvt. Ltd.(Gurugram)</t>
  </si>
  <si>
    <t>CATENSYS India Pvt. Ltd.(Chennai)</t>
  </si>
  <si>
    <t>CATENSYS India Pvt. Ltd.(Gujrat)</t>
  </si>
  <si>
    <t>MARUTI SUZUKI INDIA LIMITED - (GUJ)</t>
  </si>
  <si>
    <t>SHREE DHANLAXMI INDUSTRIES</t>
  </si>
  <si>
    <t>Hyundai Motor India Limited</t>
  </si>
  <si>
    <t>Schaeffler India Limited(Hosur)</t>
  </si>
  <si>
    <t>Hyundai Motors India Limited</t>
  </si>
  <si>
    <t>Maruti Suzuki India Limited</t>
  </si>
  <si>
    <t>Maruti Suzuki India Limited(G)</t>
  </si>
  <si>
    <t>Kia India Private Limited</t>
  </si>
  <si>
    <t>Renault Nissan Automotive India Pvt</t>
  </si>
  <si>
    <t>Honda Cars India Limited</t>
  </si>
  <si>
    <t>Mahindra &amp; Mahindra Ltd.(Pune)</t>
  </si>
  <si>
    <t>KSPG Automotive India Pvt Limited</t>
  </si>
  <si>
    <t>Maruti Suzuki India Limited -(M)</t>
  </si>
  <si>
    <t>Schaeffler Bearings Indonesia, PT</t>
  </si>
  <si>
    <t>ASAHI SANGYO KAISHA LTD</t>
  </si>
  <si>
    <t>Nissan Motor India Private Limited</t>
  </si>
  <si>
    <t>KG MOBILITY CORPORATION LTD</t>
  </si>
  <si>
    <t>Mahindra &amp; Mahindra Limited (JAI)</t>
  </si>
  <si>
    <t>Mahindra &amp; Mahindra Limited (Kanhe)</t>
  </si>
  <si>
    <t>Mahindra &amp; Mahindra Ltd. (BAN)</t>
  </si>
  <si>
    <t>Mahindra &amp; Mahindra Limited (HYD)</t>
  </si>
  <si>
    <t>Suzuki Motor Gujarat Pvt. Ltd.</t>
  </si>
  <si>
    <t>Mobis India Limited</t>
  </si>
  <si>
    <t>TVS Motor Company Limited</t>
  </si>
  <si>
    <t>Honda Motor India</t>
  </si>
  <si>
    <t>Mahindra Research Valley(AD)</t>
  </si>
  <si>
    <t>PUNE TRADERS</t>
  </si>
  <si>
    <t>For Invoicing up to 15 of Month,   within 14 days 2 % cash discount,   within 30 days 1.5 % cash discount,   within 45 days Due net,   Baseline date on 30 of the month, For Invoicing up to End  of Month,   within 14 days 2 % cash discount,   within 30 days 1.5 % cash discount,   within 45 days Due net,   Baseline date on 15 of next month</t>
  </si>
  <si>
    <t>Before 15 in 2 months Due net, For Invoicing up to End  of Month,   Before 15 in 2 months Due net</t>
  </si>
  <si>
    <t>Payable immediately Due net, Baseline date on 10 of next month</t>
  </si>
  <si>
    <t>Quantity 26.01-26.05</t>
    <phoneticPr fontId="2" type="noConversion"/>
  </si>
  <si>
    <t>Sales Value</t>
    <phoneticPr fontId="2" type="noConversion"/>
  </si>
  <si>
    <t>Need correct Part in SAP</t>
    <phoneticPr fontId="2" type="noConversion"/>
  </si>
  <si>
    <t>SAP term description</t>
    <phoneticPr fontId="2" type="noConversion"/>
  </si>
  <si>
    <t>1 week after delivery</t>
  </si>
  <si>
    <t>NA</t>
  </si>
  <si>
    <t>Stock transfer</t>
  </si>
  <si>
    <t>T/T UPON RECEIVED OF GOODS</t>
    <phoneticPr fontId="2" type="noConversion"/>
  </si>
  <si>
    <t>As per IC rules</t>
  </si>
  <si>
    <t>Advance</t>
  </si>
  <si>
    <t>Sales Check and reply Description</t>
    <phoneticPr fontId="0" type="noConversion"/>
  </si>
  <si>
    <t>Current Terms of Payment2</t>
    <phoneticPr fontId="2" type="noConversion"/>
  </si>
  <si>
    <t>Current Terms of Payment1</t>
    <phoneticPr fontId="2" type="noConversion"/>
  </si>
  <si>
    <t>Matched or Not</t>
    <phoneticPr fontId="2" type="noConversion"/>
  </si>
  <si>
    <t>Not Matched</t>
    <phoneticPr fontId="2" type="noConversion"/>
  </si>
  <si>
    <t>OK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</si>
</sst>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0"/>
      <name val="Arial Nova"/>
      <family val="2"/>
    </font>
    <font>
      <sz val="10"/>
      <color theme="1"/>
      <name val="Arial Nov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6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0" xfId="1" applyAlignment="1">
      <alignment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2" borderId="1" xfId="0" quotePrefix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9" fontId="0" fillId="0" borderId="1" xfId="0" applyNumberFormat="1" applyBorder="1" applyAlignment="1">
      <alignment vertical="center"/>
    </xf>
    <xf numFmtId="0" fontId="3" fillId="0" borderId="0" xfId="0" applyFo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5" fontId="4" fillId="0" borderId="0" xfId="2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8" fillId="5" borderId="0" xfId="1" applyFont="1" applyFill="1" applyAlignment="1">
      <alignment horizontal="center" vertical="center" wrapText="1"/>
    </xf>
    <xf numFmtId="0" fontId="8" fillId="5" borderId="0" xfId="1" applyFont="1" applyFill="1" applyAlignment="1">
      <alignment horizontal="center" vertical="center"/>
    </xf>
    <xf numFmtId="0" fontId="8" fillId="5" borderId="0" xfId="1" applyFont="1" applyFill="1" applyAlignment="1">
      <alignment horizontal="left" vertical="center"/>
    </xf>
    <xf numFmtId="0" fontId="7" fillId="5" borderId="0" xfId="0" applyFont="1" applyFill="1"/>
    <xf numFmtId="0" fontId="7" fillId="5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</cellXfs>
  <cellStyles count="3">
    <cellStyle name="Komma" xfId="2" builtinId="3"/>
    <cellStyle name="Standard" xfId="0" builtinId="0"/>
    <cellStyle name="常规 2" xfId="1" xr:uid="{DF08C12D-B933-444E-940A-0F007DFB9A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wanzhh_catensys_com/Documents/&#26700;&#38754;/KNVV-&#20013;&#22269;&#21360;&#24230;&#38889;&#22269;-V2_20260602%20(1).xlsx" TargetMode="External"/><Relationship Id="rId2" Type="http://schemas.openxmlformats.org/officeDocument/2006/relationships/externalLinkPath" Target="https://catensys-my.sharepoint.com/personal/wanzhh_catensys_com/Documents/&#26700;&#38754;/KNVV-&#20013;&#22269;&#21360;&#24230;&#38889;&#22269;-V2_20260602%20(1).xlsx" TargetMode="External"/><Relationship Id="rId1" Type="http://schemas.openxmlformats.org/officeDocument/2006/relationships/externalLinkPath" Target="/personal/wanzhh_catensys_com/Documents/&#26700;&#38754;/KNVV-&#20013;&#22269;&#21360;&#24230;&#38889;&#22269;-V2_2026060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NVV"/>
      <sheetName val="去重-BSEG"/>
      <sheetName val="PaymentTerms说明"/>
    </sheetNames>
    <sheetDataSet>
      <sheetData sheetId="0">
        <row r="1">
          <cell r="A1" t="str">
            <v>Customer</v>
          </cell>
          <cell r="B1" t="str">
            <v>Sales Organization</v>
          </cell>
          <cell r="C1" t="str">
            <v>Distribution Channel</v>
          </cell>
          <cell r="D1" t="str">
            <v>Division</v>
          </cell>
          <cell r="E1" t="str">
            <v>Order probability</v>
          </cell>
          <cell r="F1" t="str">
            <v>Incoterms</v>
          </cell>
          <cell r="G1" t="str">
            <v>Incoterms (Part 2)</v>
          </cell>
          <cell r="H1" t="str">
            <v>Max. cost estimate</v>
          </cell>
          <cell r="I1" t="str">
            <v>Currency</v>
          </cell>
          <cell r="J1" t="str">
            <v>ABC classification</v>
          </cell>
          <cell r="K1" t="str">
            <v>Acct Assmt Grp Cust.</v>
          </cell>
          <cell r="L1" t="str">
            <v>Terms of Payment</v>
          </cell>
        </row>
        <row r="2">
          <cell r="A2" t="str">
            <v>2644</v>
          </cell>
          <cell r="B2" t="str">
            <v>C199</v>
          </cell>
          <cell r="C2" t="str">
            <v>10</v>
          </cell>
          <cell r="D2" t="str">
            <v>10</v>
          </cell>
          <cell r="E2" t="str">
            <v>100</v>
          </cell>
          <cell r="F2" t="str">
            <v>EXW</v>
          </cell>
          <cell r="G2" t="str">
            <v>Filderstadt</v>
          </cell>
          <cell r="H2">
            <v>0</v>
          </cell>
          <cell r="I2" t="str">
            <v>CNY</v>
          </cell>
          <cell r="J2" t="str">
            <v/>
          </cell>
          <cell r="K2" t="str">
            <v>Z1</v>
          </cell>
          <cell r="L2" t="str">
            <v>3600</v>
          </cell>
        </row>
        <row r="3">
          <cell r="A3" t="str">
            <v>3065</v>
          </cell>
          <cell r="B3" t="str">
            <v>C199</v>
          </cell>
          <cell r="C3" t="str">
            <v>10</v>
          </cell>
          <cell r="D3" t="str">
            <v>10</v>
          </cell>
          <cell r="E3" t="str">
            <v>100</v>
          </cell>
          <cell r="F3" t="str">
            <v>FCA</v>
          </cell>
          <cell r="G3" t="str">
            <v>Filderstadt</v>
          </cell>
          <cell r="H3">
            <v>0</v>
          </cell>
          <cell r="I3" t="str">
            <v>USD</v>
          </cell>
          <cell r="J3" t="str">
            <v/>
          </cell>
          <cell r="K3" t="str">
            <v>Z4</v>
          </cell>
          <cell r="L3" t="str">
            <v>0001</v>
          </cell>
        </row>
        <row r="4">
          <cell r="A4" t="str">
            <v>5085</v>
          </cell>
          <cell r="B4" t="str">
            <v>C199</v>
          </cell>
          <cell r="C4" t="str">
            <v>10</v>
          </cell>
          <cell r="D4" t="str">
            <v>10</v>
          </cell>
          <cell r="E4" t="str">
            <v>100</v>
          </cell>
          <cell r="F4" t="str">
            <v>FCA</v>
          </cell>
          <cell r="G4" t="str">
            <v>Filderstadt</v>
          </cell>
          <cell r="H4">
            <v>0</v>
          </cell>
          <cell r="I4" t="str">
            <v>EUR</v>
          </cell>
          <cell r="J4" t="str">
            <v/>
          </cell>
          <cell r="K4" t="str">
            <v>Z2</v>
          </cell>
          <cell r="L4" t="str">
            <v>0580</v>
          </cell>
        </row>
        <row r="5">
          <cell r="A5" t="str">
            <v>6066</v>
          </cell>
          <cell r="B5" t="str">
            <v>C042</v>
          </cell>
          <cell r="C5" t="str">
            <v>10</v>
          </cell>
          <cell r="D5" t="str">
            <v>10</v>
          </cell>
          <cell r="E5" t="str">
            <v>100</v>
          </cell>
          <cell r="F5" t="str">
            <v>FCA</v>
          </cell>
          <cell r="G5" t="str">
            <v>Pune</v>
          </cell>
          <cell r="H5">
            <v>0</v>
          </cell>
          <cell r="I5" t="str">
            <v>INR</v>
          </cell>
          <cell r="J5" t="str">
            <v/>
          </cell>
          <cell r="K5" t="str">
            <v>Z4</v>
          </cell>
          <cell r="L5" t="str">
            <v>0001</v>
          </cell>
        </row>
        <row r="6">
          <cell r="A6" t="str">
            <v>6066</v>
          </cell>
          <cell r="B6" t="str">
            <v>C074</v>
          </cell>
          <cell r="C6" t="str">
            <v>10</v>
          </cell>
          <cell r="D6" t="str">
            <v>10</v>
          </cell>
          <cell r="E6" t="str">
            <v>100</v>
          </cell>
          <cell r="F6" t="str">
            <v>FCA</v>
          </cell>
          <cell r="G6" t="str">
            <v>Kyonggi-do</v>
          </cell>
          <cell r="H6">
            <v>0</v>
          </cell>
          <cell r="I6" t="str">
            <v>KRW</v>
          </cell>
          <cell r="J6" t="str">
            <v/>
          </cell>
          <cell r="K6" t="str">
            <v>Z4</v>
          </cell>
          <cell r="L6" t="str">
            <v>0001</v>
          </cell>
        </row>
        <row r="7">
          <cell r="A7" t="str">
            <v>6066</v>
          </cell>
          <cell r="B7" t="str">
            <v>C199</v>
          </cell>
          <cell r="C7" t="str">
            <v>10</v>
          </cell>
          <cell r="D7" t="str">
            <v>10</v>
          </cell>
          <cell r="E7" t="str">
            <v>100</v>
          </cell>
          <cell r="F7" t="str">
            <v>FCA</v>
          </cell>
          <cell r="G7" t="str">
            <v>Filderstadt</v>
          </cell>
          <cell r="H7">
            <v>0</v>
          </cell>
          <cell r="I7" t="str">
            <v>CNY</v>
          </cell>
          <cell r="J7" t="str">
            <v/>
          </cell>
          <cell r="K7" t="str">
            <v>Z4</v>
          </cell>
          <cell r="L7" t="str">
            <v>0001</v>
          </cell>
        </row>
        <row r="8">
          <cell r="A8" t="str">
            <v>6140</v>
          </cell>
          <cell r="B8" t="str">
            <v>C199</v>
          </cell>
          <cell r="C8" t="str">
            <v>10</v>
          </cell>
          <cell r="D8" t="str">
            <v>10</v>
          </cell>
          <cell r="E8" t="str">
            <v>100</v>
          </cell>
          <cell r="F8" t="str">
            <v>FCA</v>
          </cell>
          <cell r="G8" t="str">
            <v>Filderstadt</v>
          </cell>
          <cell r="H8">
            <v>0</v>
          </cell>
          <cell r="I8" t="str">
            <v>CNY</v>
          </cell>
          <cell r="J8" t="str">
            <v/>
          </cell>
          <cell r="K8" t="str">
            <v>Z4</v>
          </cell>
          <cell r="L8" t="str">
            <v>0540</v>
          </cell>
        </row>
        <row r="9">
          <cell r="A9" t="str">
            <v>9255</v>
          </cell>
          <cell r="B9" t="str">
            <v>C199</v>
          </cell>
          <cell r="C9" t="str">
            <v>10</v>
          </cell>
          <cell r="D9" t="str">
            <v>10</v>
          </cell>
          <cell r="E9" t="str">
            <v>100</v>
          </cell>
          <cell r="F9" t="str">
            <v>FCA</v>
          </cell>
          <cell r="G9" t="str">
            <v>Filderstadt</v>
          </cell>
          <cell r="H9">
            <v>0</v>
          </cell>
          <cell r="I9" t="str">
            <v>CNY</v>
          </cell>
          <cell r="J9" t="str">
            <v/>
          </cell>
          <cell r="K9" t="str">
            <v>Z4</v>
          </cell>
          <cell r="L9" t="str">
            <v>0540</v>
          </cell>
        </row>
        <row r="10">
          <cell r="A10" t="str">
            <v>9304</v>
          </cell>
          <cell r="B10" t="str">
            <v>C042</v>
          </cell>
          <cell r="C10" t="str">
            <v>10</v>
          </cell>
          <cell r="D10" t="str">
            <v>10</v>
          </cell>
          <cell r="E10" t="str">
            <v>100</v>
          </cell>
          <cell r="F10" t="str">
            <v>FCA</v>
          </cell>
          <cell r="G10" t="str">
            <v>Pune</v>
          </cell>
          <cell r="H10">
            <v>0</v>
          </cell>
          <cell r="I10" t="str">
            <v>INR</v>
          </cell>
          <cell r="J10" t="str">
            <v/>
          </cell>
          <cell r="K10" t="str">
            <v>Z4</v>
          </cell>
          <cell r="L10" t="str">
            <v>0540</v>
          </cell>
        </row>
        <row r="11">
          <cell r="A11" t="str">
            <v>14198</v>
          </cell>
          <cell r="B11" t="str">
            <v>C199</v>
          </cell>
          <cell r="C11" t="str">
            <v>10</v>
          </cell>
          <cell r="D11" t="str">
            <v>10</v>
          </cell>
          <cell r="E11" t="str">
            <v>100</v>
          </cell>
          <cell r="F11" t="str">
            <v>FCA</v>
          </cell>
          <cell r="G11" t="str">
            <v>Filderstadt</v>
          </cell>
          <cell r="H11">
            <v>0</v>
          </cell>
          <cell r="I11" t="str">
            <v>USD</v>
          </cell>
          <cell r="J11" t="str">
            <v/>
          </cell>
          <cell r="K11" t="str">
            <v>Z4</v>
          </cell>
          <cell r="L11" t="str">
            <v>0460</v>
          </cell>
        </row>
        <row r="12">
          <cell r="A12" t="str">
            <v>21100</v>
          </cell>
          <cell r="B12" t="str">
            <v>C199</v>
          </cell>
          <cell r="C12" t="str">
            <v>10</v>
          </cell>
          <cell r="D12" t="str">
            <v>10</v>
          </cell>
          <cell r="E12" t="str">
            <v>100</v>
          </cell>
          <cell r="F12" t="str">
            <v>FCA</v>
          </cell>
          <cell r="G12" t="str">
            <v/>
          </cell>
          <cell r="H12">
            <v>0</v>
          </cell>
          <cell r="I12" t="str">
            <v>CNY</v>
          </cell>
          <cell r="J12" t="str">
            <v/>
          </cell>
          <cell r="K12" t="str">
            <v/>
          </cell>
          <cell r="L12" t="str">
            <v/>
          </cell>
        </row>
        <row r="13">
          <cell r="A13" t="str">
            <v>22086</v>
          </cell>
          <cell r="B13" t="str">
            <v>C199</v>
          </cell>
          <cell r="C13" t="str">
            <v>10</v>
          </cell>
          <cell r="D13" t="str">
            <v>10</v>
          </cell>
          <cell r="E13" t="str">
            <v>100</v>
          </cell>
          <cell r="F13" t="str">
            <v>FCA</v>
          </cell>
          <cell r="G13" t="str">
            <v>Filderstadt</v>
          </cell>
          <cell r="H13">
            <v>0</v>
          </cell>
          <cell r="I13" t="str">
            <v>USD</v>
          </cell>
          <cell r="J13" t="str">
            <v/>
          </cell>
          <cell r="K13" t="str">
            <v>Z2</v>
          </cell>
          <cell r="L13" t="str">
            <v>0527</v>
          </cell>
        </row>
        <row r="14">
          <cell r="A14" t="str">
            <v>22659</v>
          </cell>
          <cell r="B14" t="str">
            <v>C199</v>
          </cell>
          <cell r="C14" t="str">
            <v>10</v>
          </cell>
          <cell r="D14" t="str">
            <v>10</v>
          </cell>
          <cell r="E14" t="str">
            <v>100</v>
          </cell>
          <cell r="F14" t="str">
            <v/>
          </cell>
          <cell r="G14" t="str">
            <v/>
          </cell>
          <cell r="H14">
            <v>0</v>
          </cell>
          <cell r="I14" t="str">
            <v>CNY</v>
          </cell>
          <cell r="J14" t="str">
            <v/>
          </cell>
          <cell r="K14" t="str">
            <v/>
          </cell>
          <cell r="L14" t="str">
            <v/>
          </cell>
        </row>
        <row r="15">
          <cell r="A15" t="str">
            <v>23864</v>
          </cell>
          <cell r="B15" t="str">
            <v>C042</v>
          </cell>
          <cell r="C15" t="str">
            <v>10</v>
          </cell>
          <cell r="D15" t="str">
            <v>10</v>
          </cell>
          <cell r="E15" t="str">
            <v>100</v>
          </cell>
          <cell r="F15" t="str">
            <v>FCA</v>
          </cell>
          <cell r="G15" t="str">
            <v/>
          </cell>
          <cell r="H15">
            <v>0</v>
          </cell>
          <cell r="I15" t="str">
            <v>INR</v>
          </cell>
          <cell r="J15" t="str">
            <v/>
          </cell>
          <cell r="K15" t="str">
            <v>Z1</v>
          </cell>
          <cell r="L15" t="str">
            <v>0460</v>
          </cell>
        </row>
        <row r="16">
          <cell r="A16" t="str">
            <v>23864</v>
          </cell>
          <cell r="B16" t="str">
            <v>C199</v>
          </cell>
          <cell r="C16" t="str">
            <v>10</v>
          </cell>
          <cell r="D16" t="str">
            <v>10</v>
          </cell>
          <cell r="E16" t="str">
            <v>100</v>
          </cell>
          <cell r="F16" t="str">
            <v>FCA</v>
          </cell>
          <cell r="G16" t="str">
            <v/>
          </cell>
          <cell r="H16">
            <v>0</v>
          </cell>
          <cell r="I16" t="str">
            <v>CNY</v>
          </cell>
          <cell r="J16" t="str">
            <v/>
          </cell>
          <cell r="K16" t="str">
            <v>Z2</v>
          </cell>
          <cell r="L16" t="str">
            <v>0460</v>
          </cell>
        </row>
        <row r="17">
          <cell r="A17" t="str">
            <v>30074</v>
          </cell>
          <cell r="B17" t="str">
            <v>C042</v>
          </cell>
          <cell r="C17" t="str">
            <v>10</v>
          </cell>
          <cell r="D17" t="str">
            <v>10</v>
          </cell>
          <cell r="E17" t="str">
            <v>100</v>
          </cell>
          <cell r="F17" t="str">
            <v>FCA</v>
          </cell>
          <cell r="G17" t="str">
            <v>Pune</v>
          </cell>
          <cell r="H17">
            <v>0</v>
          </cell>
          <cell r="I17" t="str">
            <v>INR</v>
          </cell>
          <cell r="J17" t="str">
            <v/>
          </cell>
          <cell r="K17" t="str">
            <v>Z1</v>
          </cell>
          <cell r="L17" t="str">
            <v>0460</v>
          </cell>
        </row>
        <row r="18">
          <cell r="A18" t="str">
            <v>30074</v>
          </cell>
          <cell r="B18" t="str">
            <v>C199</v>
          </cell>
          <cell r="C18" t="str">
            <v>10</v>
          </cell>
          <cell r="D18" t="str">
            <v>10</v>
          </cell>
          <cell r="E18" t="str">
            <v>100</v>
          </cell>
          <cell r="F18" t="str">
            <v>FCA</v>
          </cell>
          <cell r="G18" t="str">
            <v>Filderstadt</v>
          </cell>
          <cell r="H18">
            <v>0</v>
          </cell>
          <cell r="I18" t="str">
            <v>USD</v>
          </cell>
          <cell r="J18" t="str">
            <v/>
          </cell>
          <cell r="K18" t="str">
            <v>Z4</v>
          </cell>
          <cell r="L18" t="str">
            <v>0460</v>
          </cell>
        </row>
        <row r="19">
          <cell r="A19" t="str">
            <v>30549</v>
          </cell>
          <cell r="B19" t="str">
            <v>C199</v>
          </cell>
          <cell r="C19" t="str">
            <v>10</v>
          </cell>
          <cell r="D19" t="str">
            <v>10</v>
          </cell>
          <cell r="E19" t="str">
            <v>100</v>
          </cell>
          <cell r="F19" t="str">
            <v>FCA</v>
          </cell>
          <cell r="G19" t="str">
            <v>KUN SHAN</v>
          </cell>
          <cell r="H19">
            <v>0</v>
          </cell>
          <cell r="I19" t="str">
            <v>USD</v>
          </cell>
          <cell r="J19" t="str">
            <v/>
          </cell>
          <cell r="K19" t="str">
            <v>Z2</v>
          </cell>
          <cell r="L19" t="str">
            <v>0528</v>
          </cell>
        </row>
        <row r="20">
          <cell r="A20" t="str">
            <v>30624</v>
          </cell>
          <cell r="B20" t="str">
            <v>C042</v>
          </cell>
          <cell r="C20" t="str">
            <v>10</v>
          </cell>
          <cell r="D20" t="str">
            <v>10</v>
          </cell>
          <cell r="E20" t="str">
            <v>100</v>
          </cell>
          <cell r="F20" t="str">
            <v>FCA</v>
          </cell>
          <cell r="G20" t="str">
            <v>Pune</v>
          </cell>
          <cell r="H20">
            <v>0</v>
          </cell>
          <cell r="I20" t="str">
            <v>INR</v>
          </cell>
          <cell r="J20" t="str">
            <v/>
          </cell>
          <cell r="K20" t="str">
            <v>Z4</v>
          </cell>
          <cell r="L20" t="str">
            <v>0001</v>
          </cell>
        </row>
        <row r="21">
          <cell r="A21" t="str">
            <v>30775</v>
          </cell>
          <cell r="B21" t="str">
            <v>C199</v>
          </cell>
          <cell r="C21" t="str">
            <v>10</v>
          </cell>
          <cell r="D21" t="str">
            <v>10</v>
          </cell>
          <cell r="E21" t="str">
            <v>100</v>
          </cell>
          <cell r="F21" t="str">
            <v>FCA</v>
          </cell>
          <cell r="G21" t="str">
            <v>Filderstadt</v>
          </cell>
          <cell r="H21">
            <v>0</v>
          </cell>
          <cell r="I21" t="str">
            <v>USD</v>
          </cell>
          <cell r="J21" t="str">
            <v/>
          </cell>
          <cell r="K21" t="str">
            <v>Z2</v>
          </cell>
          <cell r="L21" t="str">
            <v>0527</v>
          </cell>
        </row>
        <row r="22">
          <cell r="A22" t="str">
            <v>31645</v>
          </cell>
          <cell r="B22" t="str">
            <v>C199</v>
          </cell>
          <cell r="C22" t="str">
            <v>10</v>
          </cell>
          <cell r="D22" t="str">
            <v>10</v>
          </cell>
          <cell r="E22" t="str">
            <v>100</v>
          </cell>
          <cell r="F22" t="str">
            <v/>
          </cell>
          <cell r="G22" t="str">
            <v/>
          </cell>
          <cell r="H22">
            <v>0</v>
          </cell>
          <cell r="I22" t="str">
            <v>CNY</v>
          </cell>
          <cell r="J22" t="str">
            <v/>
          </cell>
          <cell r="K22" t="str">
            <v/>
          </cell>
          <cell r="L22" t="str">
            <v/>
          </cell>
        </row>
        <row r="23">
          <cell r="A23" t="str">
            <v>32765</v>
          </cell>
          <cell r="B23" t="str">
            <v>C199</v>
          </cell>
          <cell r="C23" t="str">
            <v>10</v>
          </cell>
          <cell r="D23" t="str">
            <v>10</v>
          </cell>
          <cell r="E23" t="str">
            <v>100</v>
          </cell>
          <cell r="F23" t="str">
            <v/>
          </cell>
          <cell r="G23" t="str">
            <v/>
          </cell>
          <cell r="H23">
            <v>0</v>
          </cell>
          <cell r="I23" t="str">
            <v>CNY</v>
          </cell>
          <cell r="J23" t="str">
            <v/>
          </cell>
          <cell r="K23" t="str">
            <v/>
          </cell>
          <cell r="L23" t="str">
            <v/>
          </cell>
        </row>
        <row r="24">
          <cell r="A24" t="str">
            <v>33057</v>
          </cell>
          <cell r="B24" t="str">
            <v>C199</v>
          </cell>
          <cell r="C24" t="str">
            <v>10</v>
          </cell>
          <cell r="D24" t="str">
            <v>10</v>
          </cell>
          <cell r="E24" t="str">
            <v>100</v>
          </cell>
          <cell r="F24" t="str">
            <v>EXW</v>
          </cell>
          <cell r="G24" t="str">
            <v/>
          </cell>
          <cell r="H24">
            <v>0</v>
          </cell>
          <cell r="I24" t="str">
            <v>CNY</v>
          </cell>
          <cell r="J24" t="str">
            <v/>
          </cell>
          <cell r="K24" t="str">
            <v>Z1</v>
          </cell>
          <cell r="L24" t="str">
            <v>0460</v>
          </cell>
        </row>
        <row r="25">
          <cell r="A25" t="str">
            <v>33059</v>
          </cell>
          <cell r="B25" t="str">
            <v>C199</v>
          </cell>
          <cell r="C25" t="str">
            <v>10</v>
          </cell>
          <cell r="D25" t="str">
            <v>10</v>
          </cell>
          <cell r="E25" t="str">
            <v>100</v>
          </cell>
          <cell r="F25" t="str">
            <v>EXW</v>
          </cell>
          <cell r="G25" t="str">
            <v>Kunshan</v>
          </cell>
          <cell r="H25">
            <v>0</v>
          </cell>
          <cell r="I25" t="str">
            <v>CNY</v>
          </cell>
          <cell r="J25" t="str">
            <v/>
          </cell>
          <cell r="K25" t="str">
            <v>Z1</v>
          </cell>
          <cell r="L25" t="str">
            <v>3480</v>
          </cell>
        </row>
        <row r="26">
          <cell r="A26" t="str">
            <v>33060</v>
          </cell>
          <cell r="B26" t="str">
            <v>C199</v>
          </cell>
          <cell r="C26" t="str">
            <v>10</v>
          </cell>
          <cell r="D26" t="str">
            <v>10</v>
          </cell>
          <cell r="E26" t="str">
            <v>100</v>
          </cell>
          <cell r="F26" t="str">
            <v>EXW</v>
          </cell>
          <cell r="G26" t="str">
            <v/>
          </cell>
          <cell r="H26">
            <v>0</v>
          </cell>
          <cell r="I26" t="str">
            <v>CNY</v>
          </cell>
          <cell r="J26" t="str">
            <v/>
          </cell>
          <cell r="K26" t="str">
            <v>Z1</v>
          </cell>
          <cell r="L26" t="str">
            <v>3480</v>
          </cell>
        </row>
        <row r="27">
          <cell r="A27" t="str">
            <v>33062</v>
          </cell>
          <cell r="B27" t="str">
            <v>C199</v>
          </cell>
          <cell r="C27" t="str">
            <v>10</v>
          </cell>
          <cell r="D27" t="str">
            <v>10</v>
          </cell>
          <cell r="E27" t="str">
            <v>100</v>
          </cell>
          <cell r="F27" t="str">
            <v>CPT</v>
          </cell>
          <cell r="G27" t="str">
            <v>Yancheng</v>
          </cell>
          <cell r="H27">
            <v>0</v>
          </cell>
          <cell r="I27" t="str">
            <v>CNY</v>
          </cell>
          <cell r="J27" t="str">
            <v/>
          </cell>
          <cell r="K27" t="str">
            <v>Z1</v>
          </cell>
          <cell r="L27" t="str">
            <v>0460</v>
          </cell>
        </row>
        <row r="28">
          <cell r="A28" t="str">
            <v>33064</v>
          </cell>
          <cell r="B28" t="str">
            <v>C199</v>
          </cell>
          <cell r="C28" t="str">
            <v>10</v>
          </cell>
          <cell r="D28" t="str">
            <v>10</v>
          </cell>
          <cell r="E28" t="str">
            <v>100</v>
          </cell>
          <cell r="F28" t="str">
            <v>EXW</v>
          </cell>
          <cell r="G28" t="str">
            <v/>
          </cell>
          <cell r="H28">
            <v>0</v>
          </cell>
          <cell r="I28" t="str">
            <v>CNY</v>
          </cell>
          <cell r="J28" t="str">
            <v/>
          </cell>
          <cell r="K28" t="str">
            <v>Z1</v>
          </cell>
          <cell r="L28" t="str">
            <v>0580</v>
          </cell>
        </row>
        <row r="29">
          <cell r="A29" t="str">
            <v>33120</v>
          </cell>
          <cell r="B29" t="str">
            <v>C199</v>
          </cell>
          <cell r="C29" t="str">
            <v>10</v>
          </cell>
          <cell r="D29" t="str">
            <v>10</v>
          </cell>
          <cell r="E29" t="str">
            <v>100</v>
          </cell>
          <cell r="F29" t="str">
            <v/>
          </cell>
          <cell r="G29" t="str">
            <v/>
          </cell>
          <cell r="H29">
            <v>0</v>
          </cell>
          <cell r="I29" t="str">
            <v>CNY</v>
          </cell>
          <cell r="J29" t="str">
            <v/>
          </cell>
          <cell r="K29" t="str">
            <v/>
          </cell>
          <cell r="L29" t="str">
            <v/>
          </cell>
        </row>
        <row r="30">
          <cell r="A30" t="str">
            <v>33264</v>
          </cell>
          <cell r="B30" t="str">
            <v>C199</v>
          </cell>
          <cell r="C30" t="str">
            <v>10</v>
          </cell>
          <cell r="D30" t="str">
            <v>10</v>
          </cell>
          <cell r="E30" t="str">
            <v>100</v>
          </cell>
          <cell r="F30" t="str">
            <v>EXW</v>
          </cell>
          <cell r="G30" t="str">
            <v/>
          </cell>
          <cell r="H30">
            <v>0</v>
          </cell>
          <cell r="I30" t="str">
            <v>CNY</v>
          </cell>
          <cell r="J30" t="str">
            <v/>
          </cell>
          <cell r="K30" t="str">
            <v>Z1</v>
          </cell>
          <cell r="L30" t="str">
            <v>0460</v>
          </cell>
        </row>
        <row r="31">
          <cell r="A31" t="str">
            <v>33287</v>
          </cell>
          <cell r="B31" t="str">
            <v>C199</v>
          </cell>
          <cell r="C31" t="str">
            <v>10</v>
          </cell>
          <cell r="D31" t="str">
            <v>10</v>
          </cell>
          <cell r="E31" t="str">
            <v>100</v>
          </cell>
          <cell r="F31" t="str">
            <v/>
          </cell>
          <cell r="G31" t="str">
            <v/>
          </cell>
          <cell r="H31">
            <v>0</v>
          </cell>
          <cell r="I31" t="str">
            <v>CNY</v>
          </cell>
          <cell r="J31" t="str">
            <v/>
          </cell>
          <cell r="K31" t="str">
            <v/>
          </cell>
          <cell r="L31" t="str">
            <v/>
          </cell>
        </row>
        <row r="32">
          <cell r="A32" t="str">
            <v>33302</v>
          </cell>
          <cell r="B32" t="str">
            <v>C199</v>
          </cell>
          <cell r="C32" t="str">
            <v>10</v>
          </cell>
          <cell r="D32" t="str">
            <v>10</v>
          </cell>
          <cell r="E32" t="str">
            <v>100</v>
          </cell>
          <cell r="F32" t="str">
            <v>CPT</v>
          </cell>
          <cell r="G32" t="str">
            <v>Changchun</v>
          </cell>
          <cell r="H32">
            <v>0</v>
          </cell>
          <cell r="I32" t="str">
            <v>CNY</v>
          </cell>
          <cell r="J32" t="str">
            <v/>
          </cell>
          <cell r="K32" t="str">
            <v>Z1</v>
          </cell>
          <cell r="L32" t="str">
            <v>0201</v>
          </cell>
        </row>
        <row r="33">
          <cell r="A33" t="str">
            <v>33468</v>
          </cell>
          <cell r="B33" t="str">
            <v>C199</v>
          </cell>
          <cell r="C33" t="str">
            <v>10</v>
          </cell>
          <cell r="D33" t="str">
            <v>10</v>
          </cell>
          <cell r="E33" t="str">
            <v>100</v>
          </cell>
          <cell r="F33" t="str">
            <v>CPT</v>
          </cell>
          <cell r="G33" t="str">
            <v>Shanghai</v>
          </cell>
          <cell r="H33">
            <v>0</v>
          </cell>
          <cell r="I33" t="str">
            <v>CNY</v>
          </cell>
          <cell r="J33" t="str">
            <v/>
          </cell>
          <cell r="K33" t="str">
            <v>Z1</v>
          </cell>
          <cell r="L33" t="str">
            <v>0460</v>
          </cell>
        </row>
        <row r="34">
          <cell r="A34" t="str">
            <v>33493</v>
          </cell>
          <cell r="B34" t="str">
            <v>C199</v>
          </cell>
          <cell r="C34" t="str">
            <v>10</v>
          </cell>
          <cell r="D34" t="str">
            <v>10</v>
          </cell>
          <cell r="E34" t="str">
            <v>100</v>
          </cell>
          <cell r="F34" t="str">
            <v>CPT</v>
          </cell>
          <cell r="G34" t="str">
            <v>Chongqing</v>
          </cell>
          <cell r="H34">
            <v>0</v>
          </cell>
          <cell r="I34" t="str">
            <v>CNY</v>
          </cell>
          <cell r="J34" t="str">
            <v/>
          </cell>
          <cell r="K34" t="str">
            <v>Z1</v>
          </cell>
          <cell r="L34" t="str">
            <v>6620</v>
          </cell>
        </row>
        <row r="35">
          <cell r="A35" t="str">
            <v>33495</v>
          </cell>
          <cell r="B35" t="str">
            <v>C199</v>
          </cell>
          <cell r="C35" t="str">
            <v>10</v>
          </cell>
          <cell r="D35" t="str">
            <v>10</v>
          </cell>
          <cell r="E35" t="str">
            <v>100</v>
          </cell>
          <cell r="F35" t="str">
            <v/>
          </cell>
          <cell r="G35" t="str">
            <v/>
          </cell>
          <cell r="H35">
            <v>0</v>
          </cell>
          <cell r="I35" t="str">
            <v>CNY</v>
          </cell>
          <cell r="J35" t="str">
            <v/>
          </cell>
          <cell r="K35" t="str">
            <v/>
          </cell>
          <cell r="L35" t="str">
            <v/>
          </cell>
        </row>
        <row r="36">
          <cell r="A36" t="str">
            <v>33498</v>
          </cell>
          <cell r="B36" t="str">
            <v>C199</v>
          </cell>
          <cell r="C36" t="str">
            <v>10</v>
          </cell>
          <cell r="D36" t="str">
            <v>10</v>
          </cell>
          <cell r="E36" t="str">
            <v>100</v>
          </cell>
          <cell r="F36" t="str">
            <v>CPT</v>
          </cell>
          <cell r="G36" t="str">
            <v>Harbin</v>
          </cell>
          <cell r="H36">
            <v>0</v>
          </cell>
          <cell r="I36" t="str">
            <v>CNY</v>
          </cell>
          <cell r="J36" t="str">
            <v/>
          </cell>
          <cell r="K36" t="str">
            <v>Z1</v>
          </cell>
          <cell r="L36" t="str">
            <v>3480</v>
          </cell>
        </row>
        <row r="37">
          <cell r="A37" t="str">
            <v>35462</v>
          </cell>
          <cell r="B37" t="str">
            <v>C199</v>
          </cell>
          <cell r="C37" t="str">
            <v>10</v>
          </cell>
          <cell r="D37" t="str">
            <v>10</v>
          </cell>
          <cell r="E37" t="str">
            <v>100</v>
          </cell>
          <cell r="F37" t="str">
            <v>EXW</v>
          </cell>
          <cell r="G37" t="str">
            <v>Filderstadt</v>
          </cell>
          <cell r="H37">
            <v>0</v>
          </cell>
          <cell r="I37" t="str">
            <v>USD</v>
          </cell>
          <cell r="J37" t="str">
            <v/>
          </cell>
          <cell r="K37" t="str">
            <v>Z2</v>
          </cell>
          <cell r="L37" t="str">
            <v>0529</v>
          </cell>
        </row>
        <row r="38">
          <cell r="A38" t="str">
            <v>35584</v>
          </cell>
          <cell r="B38" t="str">
            <v>C199</v>
          </cell>
          <cell r="C38" t="str">
            <v>10</v>
          </cell>
          <cell r="D38" t="str">
            <v>10</v>
          </cell>
          <cell r="E38" t="str">
            <v>100</v>
          </cell>
          <cell r="F38" t="str">
            <v>FCA</v>
          </cell>
          <cell r="G38" t="str">
            <v>Filderstadt</v>
          </cell>
          <cell r="H38">
            <v>0</v>
          </cell>
          <cell r="I38" t="str">
            <v>EUR</v>
          </cell>
          <cell r="J38" t="str">
            <v/>
          </cell>
          <cell r="K38" t="str">
            <v>Z2</v>
          </cell>
          <cell r="L38" t="str">
            <v>0600</v>
          </cell>
        </row>
        <row r="39">
          <cell r="A39" t="str">
            <v>35896</v>
          </cell>
          <cell r="B39" t="str">
            <v>C199</v>
          </cell>
          <cell r="C39" t="str">
            <v>10</v>
          </cell>
          <cell r="D39" t="str">
            <v>10</v>
          </cell>
          <cell r="E39" t="str">
            <v>100</v>
          </cell>
          <cell r="F39" t="str">
            <v>FCA</v>
          </cell>
          <cell r="G39" t="str">
            <v>Filderstadt</v>
          </cell>
          <cell r="H39">
            <v>0</v>
          </cell>
          <cell r="I39" t="str">
            <v>CNY</v>
          </cell>
          <cell r="J39" t="str">
            <v/>
          </cell>
          <cell r="K39" t="str">
            <v>Z2</v>
          </cell>
          <cell r="L39" t="str">
            <v>0600</v>
          </cell>
        </row>
        <row r="40">
          <cell r="A40" t="str">
            <v>36543</v>
          </cell>
          <cell r="B40" t="str">
            <v>C199</v>
          </cell>
          <cell r="C40" t="str">
            <v>10</v>
          </cell>
          <cell r="D40" t="str">
            <v>10</v>
          </cell>
          <cell r="E40" t="str">
            <v>100</v>
          </cell>
          <cell r="F40" t="str">
            <v>FCA</v>
          </cell>
          <cell r="G40" t="str">
            <v>Filderstadt</v>
          </cell>
          <cell r="H40">
            <v>0</v>
          </cell>
          <cell r="I40" t="str">
            <v>USD</v>
          </cell>
          <cell r="J40" t="str">
            <v/>
          </cell>
          <cell r="K40" t="str">
            <v>Z2</v>
          </cell>
          <cell r="L40" t="str">
            <v>0600</v>
          </cell>
        </row>
        <row r="41">
          <cell r="A41" t="str">
            <v>39100</v>
          </cell>
          <cell r="B41" t="str">
            <v>C199</v>
          </cell>
          <cell r="C41" t="str">
            <v>10</v>
          </cell>
          <cell r="D41" t="str">
            <v>10</v>
          </cell>
          <cell r="E41" t="str">
            <v>100</v>
          </cell>
          <cell r="F41" t="str">
            <v/>
          </cell>
          <cell r="G41" t="str">
            <v/>
          </cell>
          <cell r="H41">
            <v>0</v>
          </cell>
          <cell r="I41" t="str">
            <v>CNY</v>
          </cell>
          <cell r="J41" t="str">
            <v/>
          </cell>
          <cell r="K41" t="str">
            <v/>
          </cell>
          <cell r="L41" t="str">
            <v/>
          </cell>
        </row>
        <row r="42">
          <cell r="A42" t="str">
            <v>41160</v>
          </cell>
          <cell r="B42" t="str">
            <v>C199</v>
          </cell>
          <cell r="C42" t="str">
            <v>10</v>
          </cell>
          <cell r="D42" t="str">
            <v>10</v>
          </cell>
          <cell r="E42" t="str">
            <v>100</v>
          </cell>
          <cell r="F42" t="str">
            <v/>
          </cell>
          <cell r="G42" t="str">
            <v/>
          </cell>
          <cell r="H42">
            <v>0</v>
          </cell>
          <cell r="I42" t="str">
            <v>CNY</v>
          </cell>
          <cell r="J42" t="str">
            <v/>
          </cell>
          <cell r="K42" t="str">
            <v/>
          </cell>
          <cell r="L42" t="str">
            <v/>
          </cell>
        </row>
        <row r="43">
          <cell r="A43" t="str">
            <v>44982</v>
          </cell>
          <cell r="B43" t="str">
            <v>C199</v>
          </cell>
          <cell r="C43" t="str">
            <v>10</v>
          </cell>
          <cell r="D43" t="str">
            <v>10</v>
          </cell>
          <cell r="E43" t="str">
            <v>100</v>
          </cell>
          <cell r="F43" t="str">
            <v>EXW</v>
          </cell>
          <cell r="G43" t="str">
            <v>Filderstadt</v>
          </cell>
          <cell r="H43">
            <v>0</v>
          </cell>
          <cell r="I43" t="str">
            <v>CNY</v>
          </cell>
          <cell r="J43" t="str">
            <v/>
          </cell>
          <cell r="K43" t="str">
            <v>Z1</v>
          </cell>
          <cell r="L43" t="str">
            <v>0200</v>
          </cell>
        </row>
        <row r="44">
          <cell r="A44" t="str">
            <v>45124</v>
          </cell>
          <cell r="B44" t="str">
            <v>C199</v>
          </cell>
          <cell r="C44" t="str">
            <v>10</v>
          </cell>
          <cell r="D44" t="str">
            <v>10</v>
          </cell>
          <cell r="E44" t="str">
            <v>100</v>
          </cell>
          <cell r="F44" t="str">
            <v>EXW</v>
          </cell>
          <cell r="G44" t="str">
            <v>Filderstadt</v>
          </cell>
          <cell r="H44">
            <v>0</v>
          </cell>
          <cell r="I44" t="str">
            <v>CNY</v>
          </cell>
          <cell r="J44" t="str">
            <v/>
          </cell>
          <cell r="K44" t="str">
            <v>Z1</v>
          </cell>
          <cell r="L44" t="str">
            <v>0530</v>
          </cell>
        </row>
        <row r="45">
          <cell r="A45" t="str">
            <v>46062</v>
          </cell>
          <cell r="B45" t="str">
            <v>C199</v>
          </cell>
          <cell r="C45" t="str">
            <v>10</v>
          </cell>
          <cell r="D45" t="str">
            <v>10</v>
          </cell>
          <cell r="E45" t="str">
            <v>100</v>
          </cell>
          <cell r="F45" t="str">
            <v>FCA</v>
          </cell>
          <cell r="G45" t="str">
            <v/>
          </cell>
          <cell r="H45">
            <v>0</v>
          </cell>
          <cell r="I45" t="str">
            <v>CNY</v>
          </cell>
          <cell r="J45" t="str">
            <v/>
          </cell>
          <cell r="K45" t="str">
            <v>Z1</v>
          </cell>
          <cell r="L45" t="str">
            <v>0580</v>
          </cell>
        </row>
        <row r="46">
          <cell r="A46" t="str">
            <v>46924</v>
          </cell>
          <cell r="B46" t="str">
            <v>C199</v>
          </cell>
          <cell r="C46" t="str">
            <v>10</v>
          </cell>
          <cell r="D46" t="str">
            <v>10</v>
          </cell>
          <cell r="E46" t="str">
            <v>100</v>
          </cell>
          <cell r="F46" t="str">
            <v>CPT</v>
          </cell>
          <cell r="G46" t="str">
            <v>Nanjing</v>
          </cell>
          <cell r="H46">
            <v>0</v>
          </cell>
          <cell r="I46" t="str">
            <v>CNY</v>
          </cell>
          <cell r="J46" t="str">
            <v/>
          </cell>
          <cell r="K46" t="str">
            <v>Z1</v>
          </cell>
          <cell r="L46" t="str">
            <v>3480</v>
          </cell>
        </row>
        <row r="47">
          <cell r="A47" t="str">
            <v>47111</v>
          </cell>
          <cell r="B47" t="str">
            <v>C042</v>
          </cell>
          <cell r="C47" t="str">
            <v>10</v>
          </cell>
          <cell r="D47" t="str">
            <v>10</v>
          </cell>
          <cell r="E47" t="str">
            <v>100</v>
          </cell>
          <cell r="F47" t="str">
            <v/>
          </cell>
          <cell r="G47" t="str">
            <v/>
          </cell>
          <cell r="H47">
            <v>0</v>
          </cell>
          <cell r="I47" t="str">
            <v>INR</v>
          </cell>
          <cell r="J47" t="str">
            <v/>
          </cell>
          <cell r="K47" t="str">
            <v>Z4</v>
          </cell>
          <cell r="L47" t="str">
            <v/>
          </cell>
        </row>
        <row r="48">
          <cell r="A48" t="str">
            <v>47111</v>
          </cell>
          <cell r="B48" t="str">
            <v>C199</v>
          </cell>
          <cell r="C48" t="str">
            <v>10</v>
          </cell>
          <cell r="D48" t="str">
            <v>10</v>
          </cell>
          <cell r="E48" t="str">
            <v>100</v>
          </cell>
          <cell r="F48" t="str">
            <v>FCA</v>
          </cell>
          <cell r="G48" t="str">
            <v/>
          </cell>
          <cell r="H48">
            <v>0</v>
          </cell>
          <cell r="I48" t="str">
            <v>CNY</v>
          </cell>
          <cell r="J48" t="str">
            <v/>
          </cell>
          <cell r="K48" t="str">
            <v>Z4</v>
          </cell>
          <cell r="L48" t="str">
            <v>0001</v>
          </cell>
        </row>
        <row r="49">
          <cell r="A49" t="str">
            <v>47152</v>
          </cell>
          <cell r="B49" t="str">
            <v>C074</v>
          </cell>
          <cell r="C49" t="str">
            <v>10</v>
          </cell>
          <cell r="D49" t="str">
            <v>10</v>
          </cell>
          <cell r="E49" t="str">
            <v>100</v>
          </cell>
          <cell r="F49" t="str">
            <v>FCA</v>
          </cell>
          <cell r="G49" t="str">
            <v>Kyonggi-do</v>
          </cell>
          <cell r="H49">
            <v>0</v>
          </cell>
          <cell r="I49" t="str">
            <v>KRW</v>
          </cell>
          <cell r="J49" t="str">
            <v/>
          </cell>
          <cell r="K49" t="str">
            <v>Z4</v>
          </cell>
          <cell r="L49" t="str">
            <v>0001</v>
          </cell>
        </row>
        <row r="50">
          <cell r="A50" t="str">
            <v>47152</v>
          </cell>
          <cell r="B50" t="str">
            <v>C199</v>
          </cell>
          <cell r="C50" t="str">
            <v>10</v>
          </cell>
          <cell r="D50" t="str">
            <v>10</v>
          </cell>
          <cell r="E50" t="str">
            <v>100</v>
          </cell>
          <cell r="F50" t="str">
            <v>FCA</v>
          </cell>
          <cell r="G50" t="str">
            <v>Filderstadt</v>
          </cell>
          <cell r="H50">
            <v>0</v>
          </cell>
          <cell r="I50" t="str">
            <v>CNY</v>
          </cell>
          <cell r="J50" t="str">
            <v/>
          </cell>
          <cell r="K50" t="str">
            <v>Z4</v>
          </cell>
          <cell r="L50" t="str">
            <v>0001</v>
          </cell>
        </row>
        <row r="51">
          <cell r="A51" t="str">
            <v>47237</v>
          </cell>
          <cell r="B51" t="str">
            <v>C042</v>
          </cell>
          <cell r="C51" t="str">
            <v>10</v>
          </cell>
          <cell r="D51" t="str">
            <v>10</v>
          </cell>
          <cell r="E51" t="str">
            <v>100</v>
          </cell>
          <cell r="F51" t="str">
            <v>DAP</v>
          </cell>
          <cell r="G51" t="str">
            <v>Gurgaon</v>
          </cell>
          <cell r="H51">
            <v>0</v>
          </cell>
          <cell r="I51" t="str">
            <v>INR</v>
          </cell>
          <cell r="J51" t="str">
            <v/>
          </cell>
          <cell r="K51" t="str">
            <v>Z1</v>
          </cell>
          <cell r="L51" t="str">
            <v>1284</v>
          </cell>
        </row>
        <row r="52">
          <cell r="A52" t="str">
            <v>47703</v>
          </cell>
          <cell r="B52" t="str">
            <v>C199</v>
          </cell>
          <cell r="C52" t="str">
            <v>10</v>
          </cell>
          <cell r="D52" t="str">
            <v>10</v>
          </cell>
          <cell r="E52" t="str">
            <v>100</v>
          </cell>
          <cell r="F52" t="str">
            <v>FCA</v>
          </cell>
          <cell r="G52" t="str">
            <v>Filderstadt</v>
          </cell>
          <cell r="H52">
            <v>0</v>
          </cell>
          <cell r="I52" t="str">
            <v>USD</v>
          </cell>
          <cell r="J52" t="str">
            <v/>
          </cell>
          <cell r="K52" t="str">
            <v>Z4</v>
          </cell>
          <cell r="L52" t="str">
            <v>0540</v>
          </cell>
        </row>
        <row r="53">
          <cell r="A53" t="str">
            <v>47858</v>
          </cell>
          <cell r="B53" t="str">
            <v>C199</v>
          </cell>
          <cell r="C53" t="str">
            <v>10</v>
          </cell>
          <cell r="D53" t="str">
            <v>10</v>
          </cell>
          <cell r="E53" t="str">
            <v>100</v>
          </cell>
          <cell r="F53" t="str">
            <v>FCA</v>
          </cell>
          <cell r="G53" t="str">
            <v>Filderstadt</v>
          </cell>
          <cell r="H53">
            <v>0</v>
          </cell>
          <cell r="I53" t="str">
            <v>CNY</v>
          </cell>
          <cell r="J53" t="str">
            <v/>
          </cell>
          <cell r="K53" t="str">
            <v>Z4</v>
          </cell>
          <cell r="L53" t="str">
            <v>0540</v>
          </cell>
        </row>
        <row r="54">
          <cell r="A54" t="str">
            <v>47866</v>
          </cell>
          <cell r="B54" t="str">
            <v>C042</v>
          </cell>
          <cell r="C54" t="str">
            <v>10</v>
          </cell>
          <cell r="D54" t="str">
            <v>10</v>
          </cell>
          <cell r="E54" t="str">
            <v>100</v>
          </cell>
          <cell r="F54" t="str">
            <v>CIP</v>
          </cell>
          <cell r="G54" t="str">
            <v>Manesar, Haryana</v>
          </cell>
          <cell r="H54">
            <v>0</v>
          </cell>
          <cell r="I54" t="str">
            <v>INR</v>
          </cell>
          <cell r="J54" t="str">
            <v/>
          </cell>
          <cell r="K54" t="str">
            <v>Z1</v>
          </cell>
          <cell r="L54" t="str">
            <v>Z170</v>
          </cell>
        </row>
        <row r="55">
          <cell r="A55" t="str">
            <v>48052</v>
          </cell>
          <cell r="B55" t="str">
            <v>C042</v>
          </cell>
          <cell r="C55" t="str">
            <v>10</v>
          </cell>
          <cell r="D55" t="str">
            <v>10</v>
          </cell>
          <cell r="E55" t="str">
            <v>100</v>
          </cell>
          <cell r="F55" t="str">
            <v/>
          </cell>
          <cell r="G55" t="str">
            <v/>
          </cell>
          <cell r="H55">
            <v>0</v>
          </cell>
          <cell r="I55" t="str">
            <v>INR</v>
          </cell>
          <cell r="J55" t="str">
            <v/>
          </cell>
          <cell r="K55" t="str">
            <v/>
          </cell>
          <cell r="L55" t="str">
            <v/>
          </cell>
        </row>
        <row r="56">
          <cell r="A56" t="str">
            <v>48576</v>
          </cell>
          <cell r="B56" t="str">
            <v>C199</v>
          </cell>
          <cell r="C56" t="str">
            <v>10</v>
          </cell>
          <cell r="D56" t="str">
            <v>10</v>
          </cell>
          <cell r="E56" t="str">
            <v>100</v>
          </cell>
          <cell r="F56" t="str">
            <v>EXW</v>
          </cell>
          <cell r="G56" t="str">
            <v>Filderstadt</v>
          </cell>
          <cell r="H56">
            <v>0</v>
          </cell>
          <cell r="I56" t="str">
            <v>CNY</v>
          </cell>
          <cell r="J56" t="str">
            <v/>
          </cell>
          <cell r="K56" t="str">
            <v>Z1</v>
          </cell>
          <cell r="L56" t="str">
            <v>0480</v>
          </cell>
        </row>
        <row r="57">
          <cell r="A57" t="str">
            <v>50100</v>
          </cell>
          <cell r="B57" t="str">
            <v>C042</v>
          </cell>
          <cell r="C57" t="str">
            <v>10</v>
          </cell>
          <cell r="D57" t="str">
            <v>10</v>
          </cell>
          <cell r="E57" t="str">
            <v>100</v>
          </cell>
          <cell r="F57" t="str">
            <v>FCA</v>
          </cell>
          <cell r="G57" t="str">
            <v>Pune</v>
          </cell>
          <cell r="H57">
            <v>0</v>
          </cell>
          <cell r="I57" t="str">
            <v>INR</v>
          </cell>
          <cell r="J57" t="str">
            <v/>
          </cell>
          <cell r="K57" t="str">
            <v>Z4</v>
          </cell>
          <cell r="L57" t="str">
            <v>0001</v>
          </cell>
        </row>
        <row r="58">
          <cell r="A58" t="str">
            <v>50100</v>
          </cell>
          <cell r="B58" t="str">
            <v>C074</v>
          </cell>
          <cell r="C58" t="str">
            <v>10</v>
          </cell>
          <cell r="D58" t="str">
            <v>10</v>
          </cell>
          <cell r="E58" t="str">
            <v>100</v>
          </cell>
          <cell r="F58" t="str">
            <v>FCA</v>
          </cell>
          <cell r="G58" t="str">
            <v/>
          </cell>
          <cell r="H58">
            <v>0</v>
          </cell>
          <cell r="I58" t="str">
            <v>KRW</v>
          </cell>
          <cell r="J58" t="str">
            <v/>
          </cell>
          <cell r="K58" t="str">
            <v>Z4</v>
          </cell>
          <cell r="L58" t="str">
            <v>0001</v>
          </cell>
        </row>
        <row r="59">
          <cell r="A59" t="str">
            <v>50100</v>
          </cell>
          <cell r="B59" t="str">
            <v>C199</v>
          </cell>
          <cell r="C59" t="str">
            <v>10</v>
          </cell>
          <cell r="D59" t="str">
            <v>10</v>
          </cell>
          <cell r="E59" t="str">
            <v>100</v>
          </cell>
          <cell r="F59" t="str">
            <v>FCA</v>
          </cell>
          <cell r="G59" t="str">
            <v>Filderstadt</v>
          </cell>
          <cell r="H59">
            <v>0</v>
          </cell>
          <cell r="I59" t="str">
            <v>USD</v>
          </cell>
          <cell r="J59" t="str">
            <v/>
          </cell>
          <cell r="K59" t="str">
            <v>Z4</v>
          </cell>
          <cell r="L59" t="str">
            <v>0001</v>
          </cell>
        </row>
        <row r="60">
          <cell r="A60" t="str">
            <v>51103</v>
          </cell>
          <cell r="B60" t="str">
            <v>C042</v>
          </cell>
          <cell r="C60" t="str">
            <v>10</v>
          </cell>
          <cell r="D60" t="str">
            <v>10</v>
          </cell>
          <cell r="E60" t="str">
            <v>100</v>
          </cell>
          <cell r="F60" t="str">
            <v>FCA</v>
          </cell>
          <cell r="G60" t="str">
            <v>Pune</v>
          </cell>
          <cell r="H60">
            <v>0</v>
          </cell>
          <cell r="I60" t="str">
            <v>USD</v>
          </cell>
          <cell r="J60" t="str">
            <v/>
          </cell>
          <cell r="K60" t="str">
            <v>Z4</v>
          </cell>
          <cell r="L60" t="str">
            <v>0540</v>
          </cell>
        </row>
        <row r="61">
          <cell r="A61" t="str">
            <v>51103</v>
          </cell>
          <cell r="B61" t="str">
            <v>C199</v>
          </cell>
          <cell r="C61" t="str">
            <v>10</v>
          </cell>
          <cell r="D61" t="str">
            <v>10</v>
          </cell>
          <cell r="E61" t="str">
            <v>100</v>
          </cell>
          <cell r="F61" t="str">
            <v>FCA</v>
          </cell>
          <cell r="G61" t="str">
            <v>Filderstadt</v>
          </cell>
          <cell r="H61">
            <v>0</v>
          </cell>
          <cell r="I61" t="str">
            <v>USD</v>
          </cell>
          <cell r="J61" t="str">
            <v/>
          </cell>
          <cell r="K61" t="str">
            <v>Z4</v>
          </cell>
          <cell r="L61" t="str">
            <v>0540</v>
          </cell>
        </row>
        <row r="62">
          <cell r="A62" t="str">
            <v>51592</v>
          </cell>
          <cell r="B62" t="str">
            <v>C199</v>
          </cell>
          <cell r="C62" t="str">
            <v>10</v>
          </cell>
          <cell r="D62" t="str">
            <v>10</v>
          </cell>
          <cell r="E62" t="str">
            <v>100</v>
          </cell>
          <cell r="F62" t="str">
            <v>FCA</v>
          </cell>
          <cell r="G62" t="str">
            <v>Filderstadt</v>
          </cell>
          <cell r="H62">
            <v>0</v>
          </cell>
          <cell r="I62" t="str">
            <v>USD</v>
          </cell>
          <cell r="J62" t="str">
            <v/>
          </cell>
          <cell r="K62" t="str">
            <v>Z4</v>
          </cell>
          <cell r="L62" t="str">
            <v>0001</v>
          </cell>
        </row>
        <row r="63">
          <cell r="A63" t="str">
            <v>53442</v>
          </cell>
          <cell r="B63" t="str">
            <v>C199</v>
          </cell>
          <cell r="C63" t="str">
            <v>10</v>
          </cell>
          <cell r="D63" t="str">
            <v>10</v>
          </cell>
          <cell r="E63" t="str">
            <v>100</v>
          </cell>
          <cell r="F63" t="str">
            <v>CPT</v>
          </cell>
          <cell r="G63" t="str">
            <v>Baoding</v>
          </cell>
          <cell r="H63">
            <v>0</v>
          </cell>
          <cell r="I63" t="str">
            <v>CNY</v>
          </cell>
          <cell r="J63" t="str">
            <v/>
          </cell>
          <cell r="K63" t="str">
            <v>Z1</v>
          </cell>
          <cell r="L63" t="str">
            <v>Z105</v>
          </cell>
        </row>
        <row r="64">
          <cell r="A64" t="str">
            <v>54266</v>
          </cell>
          <cell r="B64" t="str">
            <v>C199</v>
          </cell>
          <cell r="C64" t="str">
            <v>10</v>
          </cell>
          <cell r="D64" t="str">
            <v>10</v>
          </cell>
          <cell r="E64" t="str">
            <v>100</v>
          </cell>
          <cell r="F64" t="str">
            <v>DDP</v>
          </cell>
          <cell r="G64" t="str">
            <v>Rizhao</v>
          </cell>
          <cell r="H64">
            <v>0</v>
          </cell>
          <cell r="I64" t="str">
            <v>CNY</v>
          </cell>
          <cell r="J64" t="str">
            <v/>
          </cell>
          <cell r="K64" t="str">
            <v>Z1</v>
          </cell>
          <cell r="L64" t="str">
            <v>3700</v>
          </cell>
        </row>
        <row r="65">
          <cell r="A65" t="str">
            <v>54270</v>
          </cell>
          <cell r="B65" t="str">
            <v>C199</v>
          </cell>
          <cell r="C65" t="str">
            <v>10</v>
          </cell>
          <cell r="D65" t="str">
            <v>10</v>
          </cell>
          <cell r="E65" t="str">
            <v>100</v>
          </cell>
          <cell r="F65" t="str">
            <v/>
          </cell>
          <cell r="G65" t="str">
            <v/>
          </cell>
          <cell r="H65">
            <v>0</v>
          </cell>
          <cell r="I65" t="str">
            <v>CNY</v>
          </cell>
          <cell r="J65" t="str">
            <v/>
          </cell>
          <cell r="K65" t="str">
            <v/>
          </cell>
          <cell r="L65" t="str">
            <v/>
          </cell>
        </row>
        <row r="66">
          <cell r="A66" t="str">
            <v>54681</v>
          </cell>
          <cell r="B66" t="str">
            <v>C199</v>
          </cell>
          <cell r="C66" t="str">
            <v>10</v>
          </cell>
          <cell r="D66" t="str">
            <v>10</v>
          </cell>
          <cell r="E66" t="str">
            <v>100</v>
          </cell>
          <cell r="F66" t="str">
            <v>FCA</v>
          </cell>
          <cell r="G66" t="str">
            <v>Filderstadt</v>
          </cell>
          <cell r="H66">
            <v>0</v>
          </cell>
          <cell r="I66" t="str">
            <v>CNY</v>
          </cell>
          <cell r="J66" t="str">
            <v/>
          </cell>
          <cell r="K66" t="str">
            <v>Z2</v>
          </cell>
          <cell r="L66" t="str">
            <v>0527</v>
          </cell>
        </row>
        <row r="67">
          <cell r="A67" t="str">
            <v>55220</v>
          </cell>
          <cell r="B67" t="str">
            <v>C199</v>
          </cell>
          <cell r="C67" t="str">
            <v>10</v>
          </cell>
          <cell r="D67" t="str">
            <v>10</v>
          </cell>
          <cell r="E67" t="str">
            <v>100</v>
          </cell>
          <cell r="F67" t="str">
            <v/>
          </cell>
          <cell r="G67" t="str">
            <v/>
          </cell>
          <cell r="H67">
            <v>0</v>
          </cell>
          <cell r="I67" t="str">
            <v>CNY</v>
          </cell>
          <cell r="J67" t="str">
            <v/>
          </cell>
          <cell r="K67" t="str">
            <v/>
          </cell>
          <cell r="L67" t="str">
            <v/>
          </cell>
        </row>
        <row r="68">
          <cell r="A68" t="str">
            <v>55754</v>
          </cell>
          <cell r="B68" t="str">
            <v>C199</v>
          </cell>
          <cell r="C68" t="str">
            <v>10</v>
          </cell>
          <cell r="D68" t="str">
            <v>10</v>
          </cell>
          <cell r="E68" t="str">
            <v>100</v>
          </cell>
          <cell r="F68" t="str">
            <v/>
          </cell>
          <cell r="G68" t="str">
            <v/>
          </cell>
          <cell r="H68">
            <v>0</v>
          </cell>
          <cell r="I68" t="str">
            <v>CNY</v>
          </cell>
          <cell r="J68" t="str">
            <v/>
          </cell>
          <cell r="K68" t="str">
            <v/>
          </cell>
          <cell r="L68" t="str">
            <v/>
          </cell>
        </row>
        <row r="69">
          <cell r="A69" t="str">
            <v>56419</v>
          </cell>
          <cell r="B69" t="str">
            <v>C199</v>
          </cell>
          <cell r="C69" t="str">
            <v>10</v>
          </cell>
          <cell r="D69" t="str">
            <v>10</v>
          </cell>
          <cell r="E69" t="str">
            <v>100</v>
          </cell>
          <cell r="F69" t="str">
            <v>CPT</v>
          </cell>
          <cell r="G69" t="str">
            <v>Beijing</v>
          </cell>
          <cell r="H69">
            <v>0</v>
          </cell>
          <cell r="I69" t="str">
            <v>CNY</v>
          </cell>
          <cell r="J69" t="str">
            <v/>
          </cell>
          <cell r="K69" t="str">
            <v>Z1</v>
          </cell>
          <cell r="L69" t="str">
            <v>ZZ52</v>
          </cell>
        </row>
        <row r="70">
          <cell r="A70" t="str">
            <v>56890</v>
          </cell>
          <cell r="B70" t="str">
            <v>C042</v>
          </cell>
          <cell r="C70" t="str">
            <v>10</v>
          </cell>
          <cell r="D70" t="str">
            <v>10</v>
          </cell>
          <cell r="E70" t="str">
            <v>100</v>
          </cell>
          <cell r="F70" t="str">
            <v>FCA</v>
          </cell>
          <cell r="G70" t="str">
            <v>Pune</v>
          </cell>
          <cell r="H70">
            <v>0</v>
          </cell>
          <cell r="I70" t="str">
            <v>USD</v>
          </cell>
          <cell r="J70" t="str">
            <v/>
          </cell>
          <cell r="K70" t="str">
            <v>Z2</v>
          </cell>
          <cell r="L70" t="str">
            <v/>
          </cell>
        </row>
        <row r="71">
          <cell r="A71" t="str">
            <v>57274</v>
          </cell>
          <cell r="B71" t="str">
            <v>C199</v>
          </cell>
          <cell r="C71" t="str">
            <v>10</v>
          </cell>
          <cell r="D71" t="str">
            <v>10</v>
          </cell>
          <cell r="E71" t="str">
            <v>100</v>
          </cell>
          <cell r="F71" t="str">
            <v/>
          </cell>
          <cell r="G71" t="str">
            <v/>
          </cell>
          <cell r="H71">
            <v>0</v>
          </cell>
          <cell r="I71" t="str">
            <v>CNY</v>
          </cell>
          <cell r="J71" t="str">
            <v/>
          </cell>
          <cell r="K71" t="str">
            <v/>
          </cell>
          <cell r="L71" t="str">
            <v/>
          </cell>
        </row>
        <row r="72">
          <cell r="A72" t="str">
            <v>58512</v>
          </cell>
          <cell r="B72" t="str">
            <v>C199</v>
          </cell>
          <cell r="C72" t="str">
            <v>10</v>
          </cell>
          <cell r="D72" t="str">
            <v>10</v>
          </cell>
          <cell r="E72" t="str">
            <v>100</v>
          </cell>
          <cell r="F72" t="str">
            <v/>
          </cell>
          <cell r="G72" t="str">
            <v/>
          </cell>
          <cell r="H72">
            <v>0</v>
          </cell>
          <cell r="I72" t="str">
            <v>CNY</v>
          </cell>
          <cell r="J72" t="str">
            <v/>
          </cell>
          <cell r="K72" t="str">
            <v/>
          </cell>
          <cell r="L72" t="str">
            <v/>
          </cell>
        </row>
        <row r="73">
          <cell r="A73" t="str">
            <v>58619</v>
          </cell>
          <cell r="B73" t="str">
            <v>C199</v>
          </cell>
          <cell r="C73" t="str">
            <v>10</v>
          </cell>
          <cell r="D73" t="str">
            <v>10</v>
          </cell>
          <cell r="E73" t="str">
            <v>100</v>
          </cell>
          <cell r="F73" t="str">
            <v/>
          </cell>
          <cell r="G73" t="str">
            <v/>
          </cell>
          <cell r="H73">
            <v>0</v>
          </cell>
          <cell r="I73" t="str">
            <v>CNY</v>
          </cell>
          <cell r="J73" t="str">
            <v/>
          </cell>
          <cell r="K73" t="str">
            <v/>
          </cell>
          <cell r="L73" t="str">
            <v/>
          </cell>
        </row>
        <row r="74">
          <cell r="A74" t="str">
            <v>59921</v>
          </cell>
          <cell r="B74" t="str">
            <v>C199</v>
          </cell>
          <cell r="C74" t="str">
            <v>10</v>
          </cell>
          <cell r="D74" t="str">
            <v>10</v>
          </cell>
          <cell r="E74" t="str">
            <v>100</v>
          </cell>
          <cell r="F74" t="str">
            <v>CPT</v>
          </cell>
          <cell r="G74" t="str">
            <v>Shiyan</v>
          </cell>
          <cell r="H74">
            <v>0</v>
          </cell>
          <cell r="I74" t="str">
            <v>CNY</v>
          </cell>
          <cell r="J74" t="str">
            <v/>
          </cell>
          <cell r="K74" t="str">
            <v>Z1</v>
          </cell>
          <cell r="L74" t="str">
            <v>3690</v>
          </cell>
        </row>
        <row r="75">
          <cell r="A75" t="str">
            <v>60494</v>
          </cell>
          <cell r="B75" t="str">
            <v>C199</v>
          </cell>
          <cell r="C75" t="str">
            <v>10</v>
          </cell>
          <cell r="D75" t="str">
            <v>10</v>
          </cell>
          <cell r="E75" t="str">
            <v>100</v>
          </cell>
          <cell r="F75" t="str">
            <v>EXW</v>
          </cell>
          <cell r="G75" t="str">
            <v>Filderstadt</v>
          </cell>
          <cell r="H75">
            <v>0</v>
          </cell>
          <cell r="I75" t="str">
            <v>CNY</v>
          </cell>
          <cell r="J75" t="str">
            <v/>
          </cell>
          <cell r="K75" t="str">
            <v>Z1</v>
          </cell>
          <cell r="L75" t="str">
            <v>6420</v>
          </cell>
        </row>
        <row r="76">
          <cell r="A76" t="str">
            <v>60569</v>
          </cell>
          <cell r="B76" t="str">
            <v>C199</v>
          </cell>
          <cell r="C76" t="str">
            <v>10</v>
          </cell>
          <cell r="D76" t="str">
            <v>10</v>
          </cell>
          <cell r="E76" t="str">
            <v>100</v>
          </cell>
          <cell r="F76" t="str">
            <v>EXW</v>
          </cell>
          <cell r="G76" t="str">
            <v>Filderstadt</v>
          </cell>
          <cell r="H76">
            <v>0</v>
          </cell>
          <cell r="I76" t="str">
            <v>CNY</v>
          </cell>
          <cell r="J76" t="str">
            <v/>
          </cell>
          <cell r="K76" t="str">
            <v>Z1</v>
          </cell>
          <cell r="L76" t="str">
            <v>6720</v>
          </cell>
        </row>
        <row r="77">
          <cell r="A77" t="str">
            <v>61018</v>
          </cell>
          <cell r="B77" t="str">
            <v>C199</v>
          </cell>
          <cell r="C77" t="str">
            <v>10</v>
          </cell>
          <cell r="D77" t="str">
            <v>10</v>
          </cell>
          <cell r="E77" t="str">
            <v>100</v>
          </cell>
          <cell r="F77" t="str">
            <v/>
          </cell>
          <cell r="G77" t="str">
            <v/>
          </cell>
          <cell r="H77">
            <v>0</v>
          </cell>
          <cell r="I77" t="str">
            <v>CNY</v>
          </cell>
          <cell r="J77" t="str">
            <v/>
          </cell>
          <cell r="K77" t="str">
            <v/>
          </cell>
          <cell r="L77" t="str">
            <v/>
          </cell>
        </row>
        <row r="78">
          <cell r="A78" t="str">
            <v>61124</v>
          </cell>
          <cell r="B78" t="str">
            <v>C199</v>
          </cell>
          <cell r="C78" t="str">
            <v>10</v>
          </cell>
          <cell r="D78" t="str">
            <v>10</v>
          </cell>
          <cell r="E78" t="str">
            <v>100</v>
          </cell>
          <cell r="F78" t="str">
            <v>EXW</v>
          </cell>
          <cell r="G78" t="str">
            <v>Filderstadt</v>
          </cell>
          <cell r="H78">
            <v>0</v>
          </cell>
          <cell r="I78" t="str">
            <v>CNY</v>
          </cell>
          <cell r="J78" t="str">
            <v/>
          </cell>
          <cell r="K78" t="str">
            <v>Z1</v>
          </cell>
          <cell r="L78" t="str">
            <v>6540</v>
          </cell>
        </row>
        <row r="79">
          <cell r="A79" t="str">
            <v>61366</v>
          </cell>
          <cell r="B79" t="str">
            <v>C199</v>
          </cell>
          <cell r="C79" t="str">
            <v>10</v>
          </cell>
          <cell r="D79" t="str">
            <v>10</v>
          </cell>
          <cell r="E79" t="str">
            <v>100</v>
          </cell>
          <cell r="F79" t="str">
            <v>CPT</v>
          </cell>
          <cell r="G79" t="str">
            <v>Yuhuan</v>
          </cell>
          <cell r="H79">
            <v>0</v>
          </cell>
          <cell r="I79" t="str">
            <v>CNY</v>
          </cell>
          <cell r="J79" t="str">
            <v/>
          </cell>
          <cell r="K79" t="str">
            <v>Z1</v>
          </cell>
          <cell r="L79" t="str">
            <v>3600</v>
          </cell>
        </row>
        <row r="80">
          <cell r="A80" t="str">
            <v>61730</v>
          </cell>
          <cell r="B80" t="str">
            <v>C042</v>
          </cell>
          <cell r="C80" t="str">
            <v>10</v>
          </cell>
          <cell r="D80" t="str">
            <v>10</v>
          </cell>
          <cell r="E80" t="str">
            <v>100</v>
          </cell>
          <cell r="F80" t="str">
            <v>FCA</v>
          </cell>
          <cell r="G80" t="str">
            <v>Pune</v>
          </cell>
          <cell r="H80">
            <v>0</v>
          </cell>
          <cell r="I80" t="str">
            <v>USD</v>
          </cell>
          <cell r="J80" t="str">
            <v/>
          </cell>
          <cell r="K80" t="str">
            <v>Z4</v>
          </cell>
          <cell r="L80" t="str">
            <v>0540</v>
          </cell>
        </row>
        <row r="81">
          <cell r="A81" t="str">
            <v>61730</v>
          </cell>
          <cell r="B81" t="str">
            <v>C199</v>
          </cell>
          <cell r="C81" t="str">
            <v>10</v>
          </cell>
          <cell r="D81" t="str">
            <v>10</v>
          </cell>
          <cell r="E81" t="str">
            <v>100</v>
          </cell>
          <cell r="F81" t="str">
            <v>FCA</v>
          </cell>
          <cell r="G81" t="str">
            <v>Filderstadt</v>
          </cell>
          <cell r="H81">
            <v>0</v>
          </cell>
          <cell r="I81" t="str">
            <v>USD</v>
          </cell>
          <cell r="J81" t="str">
            <v/>
          </cell>
          <cell r="K81" t="str">
            <v>Z4</v>
          </cell>
          <cell r="L81" t="str">
            <v>0540</v>
          </cell>
        </row>
        <row r="82">
          <cell r="A82" t="str">
            <v>61787</v>
          </cell>
          <cell r="B82" t="str">
            <v>C199</v>
          </cell>
          <cell r="C82" t="str">
            <v>10</v>
          </cell>
          <cell r="D82" t="str">
            <v>10</v>
          </cell>
          <cell r="E82" t="str">
            <v>100</v>
          </cell>
          <cell r="F82" t="str">
            <v>EXW</v>
          </cell>
          <cell r="G82" t="str">
            <v>Filderstadt</v>
          </cell>
          <cell r="H82">
            <v>0</v>
          </cell>
          <cell r="I82" t="str">
            <v>CNY</v>
          </cell>
          <cell r="J82" t="str">
            <v/>
          </cell>
          <cell r="K82" t="str">
            <v>Z2</v>
          </cell>
          <cell r="L82" t="str">
            <v>0540</v>
          </cell>
        </row>
        <row r="83">
          <cell r="A83" t="str">
            <v>61862</v>
          </cell>
          <cell r="B83" t="str">
            <v>C199</v>
          </cell>
          <cell r="C83" t="str">
            <v>10</v>
          </cell>
          <cell r="D83" t="str">
            <v>10</v>
          </cell>
          <cell r="E83" t="str">
            <v>100</v>
          </cell>
          <cell r="F83" t="str">
            <v>CPT</v>
          </cell>
          <cell r="G83" t="str">
            <v>Guangzhou</v>
          </cell>
          <cell r="H83">
            <v>0</v>
          </cell>
          <cell r="I83" t="str">
            <v>CNY</v>
          </cell>
          <cell r="J83" t="str">
            <v/>
          </cell>
          <cell r="K83" t="str">
            <v>Z1</v>
          </cell>
          <cell r="L83" t="str">
            <v>0540</v>
          </cell>
        </row>
        <row r="84">
          <cell r="A84" t="str">
            <v>61938</v>
          </cell>
          <cell r="B84" t="str">
            <v>C199</v>
          </cell>
          <cell r="C84" t="str">
            <v>10</v>
          </cell>
          <cell r="D84" t="str">
            <v>10</v>
          </cell>
          <cell r="E84" t="str">
            <v>100</v>
          </cell>
          <cell r="F84" t="str">
            <v>CPT</v>
          </cell>
          <cell r="G84" t="str">
            <v>Chongqing</v>
          </cell>
          <cell r="H84">
            <v>0</v>
          </cell>
          <cell r="I84" t="str">
            <v>CNY</v>
          </cell>
          <cell r="J84" t="str">
            <v/>
          </cell>
          <cell r="K84" t="str">
            <v>Z1</v>
          </cell>
          <cell r="L84" t="str">
            <v>0201</v>
          </cell>
        </row>
        <row r="85">
          <cell r="A85" t="str">
            <v>62469</v>
          </cell>
          <cell r="B85" t="str">
            <v>C199</v>
          </cell>
          <cell r="C85" t="str">
            <v>10</v>
          </cell>
          <cell r="D85" t="str">
            <v>10</v>
          </cell>
          <cell r="E85" t="str">
            <v>100</v>
          </cell>
          <cell r="F85" t="str">
            <v>FCA</v>
          </cell>
          <cell r="G85" t="str">
            <v>Filderstadt</v>
          </cell>
          <cell r="H85">
            <v>0</v>
          </cell>
          <cell r="I85" t="str">
            <v>USD</v>
          </cell>
          <cell r="J85" t="str">
            <v/>
          </cell>
          <cell r="K85" t="str">
            <v>Z2</v>
          </cell>
          <cell r="L85" t="str">
            <v>0525</v>
          </cell>
        </row>
        <row r="86">
          <cell r="A86" t="str">
            <v>69472</v>
          </cell>
          <cell r="B86" t="str">
            <v>C042</v>
          </cell>
          <cell r="C86" t="str">
            <v>10</v>
          </cell>
          <cell r="D86" t="str">
            <v>10</v>
          </cell>
          <cell r="E86" t="str">
            <v>100</v>
          </cell>
          <cell r="F86" t="str">
            <v>CIP</v>
          </cell>
          <cell r="G86" t="str">
            <v>Vadgaon</v>
          </cell>
          <cell r="H86">
            <v>0</v>
          </cell>
          <cell r="I86" t="str">
            <v>INR</v>
          </cell>
          <cell r="J86" t="str">
            <v/>
          </cell>
          <cell r="K86" t="str">
            <v>Z1</v>
          </cell>
          <cell r="L86" t="str">
            <v>7604</v>
          </cell>
        </row>
        <row r="87">
          <cell r="A87" t="str">
            <v>69474</v>
          </cell>
          <cell r="B87" t="str">
            <v>C042</v>
          </cell>
          <cell r="C87" t="str">
            <v>10</v>
          </cell>
          <cell r="D87" t="str">
            <v>10</v>
          </cell>
          <cell r="E87" t="str">
            <v>100</v>
          </cell>
          <cell r="F87" t="str">
            <v>CIP</v>
          </cell>
          <cell r="G87" t="str">
            <v>Gurgaon Haryana</v>
          </cell>
          <cell r="H87">
            <v>0</v>
          </cell>
          <cell r="I87" t="str">
            <v>INR</v>
          </cell>
          <cell r="J87" t="str">
            <v/>
          </cell>
          <cell r="K87" t="str">
            <v>Z1</v>
          </cell>
          <cell r="L87" t="str">
            <v>0520</v>
          </cell>
        </row>
        <row r="88">
          <cell r="A88" t="str">
            <v>69479</v>
          </cell>
          <cell r="B88" t="str">
            <v>C042</v>
          </cell>
          <cell r="C88" t="str">
            <v>10</v>
          </cell>
          <cell r="D88" t="str">
            <v>10</v>
          </cell>
          <cell r="E88" t="str">
            <v>100</v>
          </cell>
          <cell r="F88" t="str">
            <v>CIP</v>
          </cell>
          <cell r="G88" t="str">
            <v>Kanhe</v>
          </cell>
          <cell r="H88">
            <v>0</v>
          </cell>
          <cell r="I88" t="str">
            <v>INR</v>
          </cell>
          <cell r="J88" t="str">
            <v/>
          </cell>
          <cell r="K88" t="str">
            <v>Z1</v>
          </cell>
          <cell r="L88" t="str">
            <v>Z170</v>
          </cell>
        </row>
        <row r="89">
          <cell r="A89" t="str">
            <v>69670</v>
          </cell>
          <cell r="B89" t="str">
            <v>C042</v>
          </cell>
          <cell r="C89" t="str">
            <v>10</v>
          </cell>
          <cell r="D89" t="str">
            <v>10</v>
          </cell>
          <cell r="E89" t="str">
            <v>100</v>
          </cell>
          <cell r="F89" t="str">
            <v>CIF</v>
          </cell>
          <cell r="G89" t="str">
            <v>Hyderabad</v>
          </cell>
          <cell r="H89">
            <v>0</v>
          </cell>
          <cell r="I89" t="str">
            <v>INR</v>
          </cell>
          <cell r="J89" t="str">
            <v/>
          </cell>
          <cell r="K89" t="str">
            <v>Z1</v>
          </cell>
          <cell r="L89" t="str">
            <v>7604</v>
          </cell>
        </row>
        <row r="90">
          <cell r="A90" t="str">
            <v>69886</v>
          </cell>
          <cell r="B90" t="str">
            <v>C042</v>
          </cell>
          <cell r="C90" t="str">
            <v>10</v>
          </cell>
          <cell r="D90" t="str">
            <v>10</v>
          </cell>
          <cell r="E90" t="str">
            <v>100</v>
          </cell>
          <cell r="F90" t="str">
            <v>CIP</v>
          </cell>
          <cell r="G90" t="str">
            <v>Irrungattukottai, TN</v>
          </cell>
          <cell r="H90">
            <v>0</v>
          </cell>
          <cell r="I90" t="str">
            <v>INR</v>
          </cell>
          <cell r="J90" t="str">
            <v/>
          </cell>
          <cell r="K90" t="str">
            <v>Z1</v>
          </cell>
          <cell r="L90" t="str">
            <v>0460</v>
          </cell>
        </row>
        <row r="91">
          <cell r="A91" t="str">
            <v>69896</v>
          </cell>
          <cell r="B91" t="str">
            <v>C042</v>
          </cell>
          <cell r="C91" t="str">
            <v>10</v>
          </cell>
          <cell r="D91" t="str">
            <v>10</v>
          </cell>
          <cell r="E91" t="str">
            <v>100</v>
          </cell>
          <cell r="F91" t="str">
            <v>CIF</v>
          </cell>
          <cell r="G91" t="str">
            <v>Kancheepuram</v>
          </cell>
          <cell r="H91">
            <v>0</v>
          </cell>
          <cell r="I91" t="str">
            <v>INR</v>
          </cell>
          <cell r="J91" t="str">
            <v/>
          </cell>
          <cell r="K91" t="str">
            <v>Z1</v>
          </cell>
          <cell r="L91" t="str">
            <v>0460</v>
          </cell>
        </row>
        <row r="92">
          <cell r="A92" t="str">
            <v>69897</v>
          </cell>
          <cell r="B92" t="str">
            <v>C042</v>
          </cell>
          <cell r="C92" t="str">
            <v>10</v>
          </cell>
          <cell r="D92" t="str">
            <v>10</v>
          </cell>
          <cell r="E92" t="str">
            <v>100</v>
          </cell>
          <cell r="F92" t="str">
            <v>CFR</v>
          </cell>
          <cell r="G92" t="str">
            <v>Chennai</v>
          </cell>
          <cell r="H92">
            <v>0</v>
          </cell>
          <cell r="I92" t="str">
            <v>INR</v>
          </cell>
          <cell r="J92" t="str">
            <v/>
          </cell>
          <cell r="K92" t="str">
            <v>Z1</v>
          </cell>
          <cell r="L92" t="str">
            <v>0460</v>
          </cell>
        </row>
        <row r="93">
          <cell r="A93" t="str">
            <v>72749</v>
          </cell>
          <cell r="B93" t="str">
            <v>C074</v>
          </cell>
          <cell r="C93" t="str">
            <v>10</v>
          </cell>
          <cell r="D93" t="str">
            <v>10</v>
          </cell>
          <cell r="E93" t="str">
            <v>100</v>
          </cell>
          <cell r="F93" t="str">
            <v>DAP</v>
          </cell>
          <cell r="G93" t="str">
            <v>Cheonan-Si</v>
          </cell>
          <cell r="H93">
            <v>0</v>
          </cell>
          <cell r="I93" t="str">
            <v>KRW</v>
          </cell>
          <cell r="J93" t="str">
            <v/>
          </cell>
          <cell r="K93" t="str">
            <v>Z1</v>
          </cell>
          <cell r="L93" t="str">
            <v>7708</v>
          </cell>
        </row>
        <row r="94">
          <cell r="A94" t="str">
            <v>72755</v>
          </cell>
          <cell r="B94" t="str">
            <v>C074</v>
          </cell>
          <cell r="C94" t="str">
            <v>10</v>
          </cell>
          <cell r="D94" t="str">
            <v>10</v>
          </cell>
          <cell r="E94" t="str">
            <v>100</v>
          </cell>
          <cell r="F94" t="str">
            <v>DAP</v>
          </cell>
          <cell r="G94" t="str">
            <v>Asan-Si</v>
          </cell>
          <cell r="H94">
            <v>0</v>
          </cell>
          <cell r="I94" t="str">
            <v>KRW</v>
          </cell>
          <cell r="J94" t="str">
            <v/>
          </cell>
          <cell r="K94" t="str">
            <v>Z1</v>
          </cell>
          <cell r="L94" t="str">
            <v>6600</v>
          </cell>
        </row>
        <row r="95">
          <cell r="A95" t="str">
            <v>72802</v>
          </cell>
          <cell r="B95" t="str">
            <v>C074</v>
          </cell>
          <cell r="C95" t="str">
            <v>10</v>
          </cell>
          <cell r="D95" t="str">
            <v>10</v>
          </cell>
          <cell r="E95" t="str">
            <v>100</v>
          </cell>
          <cell r="F95" t="str">
            <v>DAP</v>
          </cell>
          <cell r="G95" t="str">
            <v>Pyeongtaek-Si</v>
          </cell>
          <cell r="H95">
            <v>0</v>
          </cell>
          <cell r="I95" t="str">
            <v>KRW</v>
          </cell>
          <cell r="J95" t="str">
            <v/>
          </cell>
          <cell r="K95" t="str">
            <v>Z1</v>
          </cell>
          <cell r="L95" t="str">
            <v>7723</v>
          </cell>
        </row>
        <row r="96">
          <cell r="A96" t="str">
            <v>72805</v>
          </cell>
          <cell r="B96" t="str">
            <v>C074</v>
          </cell>
          <cell r="C96" t="str">
            <v>10</v>
          </cell>
          <cell r="D96" t="str">
            <v>10</v>
          </cell>
          <cell r="E96" t="str">
            <v>100</v>
          </cell>
          <cell r="F96" t="str">
            <v>DAP</v>
          </cell>
          <cell r="G96" t="str">
            <v>Pyeongtaek-Si</v>
          </cell>
          <cell r="H96">
            <v>0</v>
          </cell>
          <cell r="I96" t="str">
            <v>KRW</v>
          </cell>
          <cell r="J96" t="str">
            <v/>
          </cell>
          <cell r="K96" t="str">
            <v>Z1</v>
          </cell>
          <cell r="L96" t="str">
            <v>7708</v>
          </cell>
        </row>
        <row r="97">
          <cell r="A97" t="str">
            <v>72933</v>
          </cell>
          <cell r="B97" t="str">
            <v>C074</v>
          </cell>
          <cell r="C97" t="str">
            <v>10</v>
          </cell>
          <cell r="D97" t="str">
            <v>10</v>
          </cell>
          <cell r="E97" t="str">
            <v>100</v>
          </cell>
          <cell r="F97" t="str">
            <v>DAP</v>
          </cell>
          <cell r="G97" t="str">
            <v>Seoul</v>
          </cell>
          <cell r="H97">
            <v>0</v>
          </cell>
          <cell r="I97" t="str">
            <v>KRW</v>
          </cell>
          <cell r="J97" t="str">
            <v/>
          </cell>
          <cell r="K97" t="str">
            <v>Z1</v>
          </cell>
          <cell r="L97" t="str">
            <v>3350</v>
          </cell>
        </row>
        <row r="98">
          <cell r="A98" t="str">
            <v>72951</v>
          </cell>
          <cell r="B98" t="str">
            <v>C074</v>
          </cell>
          <cell r="C98" t="str">
            <v>10</v>
          </cell>
          <cell r="D98" t="str">
            <v>10</v>
          </cell>
          <cell r="E98" t="str">
            <v>100</v>
          </cell>
          <cell r="F98" t="str">
            <v>DAP</v>
          </cell>
          <cell r="G98" t="str">
            <v>Hwaseong-Si</v>
          </cell>
          <cell r="H98">
            <v>0</v>
          </cell>
          <cell r="I98" t="str">
            <v>KRW</v>
          </cell>
          <cell r="J98" t="str">
            <v/>
          </cell>
          <cell r="K98" t="str">
            <v>Z1</v>
          </cell>
          <cell r="L98" t="str">
            <v>7709</v>
          </cell>
        </row>
        <row r="99">
          <cell r="A99" t="str">
            <v>72973</v>
          </cell>
          <cell r="B99" t="str">
            <v>C074</v>
          </cell>
          <cell r="C99" t="str">
            <v>10</v>
          </cell>
          <cell r="D99" t="str">
            <v>10</v>
          </cell>
          <cell r="E99" t="str">
            <v>100</v>
          </cell>
          <cell r="F99" t="str">
            <v>DAP</v>
          </cell>
          <cell r="G99" t="str">
            <v>Hwaseong-Si</v>
          </cell>
          <cell r="H99">
            <v>0</v>
          </cell>
          <cell r="I99" t="str">
            <v>KRW</v>
          </cell>
          <cell r="J99" t="str">
            <v/>
          </cell>
          <cell r="K99" t="str">
            <v>Z1</v>
          </cell>
          <cell r="L99" t="str">
            <v>7709</v>
          </cell>
        </row>
        <row r="100">
          <cell r="A100" t="str">
            <v>73446</v>
          </cell>
          <cell r="B100" t="str">
            <v>C199</v>
          </cell>
          <cell r="C100" t="str">
            <v>10</v>
          </cell>
          <cell r="D100" t="str">
            <v>10</v>
          </cell>
          <cell r="E100" t="str">
            <v>100</v>
          </cell>
          <cell r="F100" t="str">
            <v>FCA</v>
          </cell>
          <cell r="G100" t="str">
            <v>Filderstadt</v>
          </cell>
          <cell r="H100">
            <v>0</v>
          </cell>
          <cell r="I100" t="str">
            <v>USD</v>
          </cell>
          <cell r="J100" t="str">
            <v/>
          </cell>
          <cell r="K100" t="str">
            <v>Z4</v>
          </cell>
          <cell r="L100" t="str">
            <v>0540</v>
          </cell>
        </row>
        <row r="101">
          <cell r="A101" t="str">
            <v>73925</v>
          </cell>
          <cell r="B101" t="str">
            <v>C199</v>
          </cell>
          <cell r="C101" t="str">
            <v>10</v>
          </cell>
          <cell r="D101" t="str">
            <v>10</v>
          </cell>
          <cell r="E101" t="str">
            <v>100</v>
          </cell>
          <cell r="F101" t="str">
            <v>CPT</v>
          </cell>
          <cell r="G101" t="str">
            <v>Tianjin</v>
          </cell>
          <cell r="H101">
            <v>0</v>
          </cell>
          <cell r="I101" t="str">
            <v>CNY</v>
          </cell>
          <cell r="J101" t="str">
            <v/>
          </cell>
          <cell r="K101" t="str">
            <v>Z1</v>
          </cell>
          <cell r="L101" t="str">
            <v>3700</v>
          </cell>
        </row>
        <row r="102">
          <cell r="A102" t="str">
            <v>74061</v>
          </cell>
          <cell r="B102" t="str">
            <v>C199</v>
          </cell>
          <cell r="C102" t="str">
            <v>10</v>
          </cell>
          <cell r="D102" t="str">
            <v>10</v>
          </cell>
          <cell r="E102" t="str">
            <v>100</v>
          </cell>
          <cell r="F102" t="str">
            <v>EXW</v>
          </cell>
          <cell r="G102" t="str">
            <v>Filderstadt</v>
          </cell>
          <cell r="H102">
            <v>0</v>
          </cell>
          <cell r="I102" t="str">
            <v>CNY</v>
          </cell>
          <cell r="J102" t="str">
            <v/>
          </cell>
          <cell r="K102" t="str">
            <v>Z1</v>
          </cell>
          <cell r="L102" t="str">
            <v>0200</v>
          </cell>
        </row>
        <row r="103">
          <cell r="A103" t="str">
            <v>74562</v>
          </cell>
          <cell r="B103" t="str">
            <v>C199</v>
          </cell>
          <cell r="C103" t="str">
            <v>10</v>
          </cell>
          <cell r="D103" t="str">
            <v>10</v>
          </cell>
          <cell r="E103" t="str">
            <v>100</v>
          </cell>
          <cell r="F103" t="str">
            <v>FCA</v>
          </cell>
          <cell r="G103" t="str">
            <v>Filderstadt</v>
          </cell>
          <cell r="H103">
            <v>0</v>
          </cell>
          <cell r="I103" t="str">
            <v>CNY</v>
          </cell>
          <cell r="J103" t="str">
            <v/>
          </cell>
          <cell r="K103" t="str">
            <v>Z2</v>
          </cell>
          <cell r="L103" t="str">
            <v>0529</v>
          </cell>
        </row>
        <row r="104">
          <cell r="A104" t="str">
            <v>74866</v>
          </cell>
          <cell r="B104" t="str">
            <v>C042</v>
          </cell>
          <cell r="C104" t="str">
            <v>10</v>
          </cell>
          <cell r="D104" t="str">
            <v>10</v>
          </cell>
          <cell r="E104" t="str">
            <v>100</v>
          </cell>
          <cell r="F104" t="str">
            <v>FCA</v>
          </cell>
          <cell r="G104" t="str">
            <v>Pune</v>
          </cell>
          <cell r="H104">
            <v>0</v>
          </cell>
          <cell r="I104" t="str">
            <v>USD</v>
          </cell>
          <cell r="J104" t="str">
            <v/>
          </cell>
          <cell r="K104" t="str">
            <v>Z4</v>
          </cell>
          <cell r="L104" t="str">
            <v>0540</v>
          </cell>
        </row>
        <row r="105">
          <cell r="A105" t="str">
            <v>74866</v>
          </cell>
          <cell r="B105" t="str">
            <v>C199</v>
          </cell>
          <cell r="C105" t="str">
            <v>10</v>
          </cell>
          <cell r="D105" t="str">
            <v>10</v>
          </cell>
          <cell r="E105" t="str">
            <v>100</v>
          </cell>
          <cell r="F105" t="str">
            <v>FCA</v>
          </cell>
          <cell r="G105" t="str">
            <v/>
          </cell>
          <cell r="H105">
            <v>0</v>
          </cell>
          <cell r="I105" t="str">
            <v>USD</v>
          </cell>
          <cell r="J105" t="str">
            <v/>
          </cell>
          <cell r="K105" t="str">
            <v>Z4</v>
          </cell>
          <cell r="L105" t="str">
            <v>0540</v>
          </cell>
        </row>
        <row r="106">
          <cell r="A106" t="str">
            <v>75326</v>
          </cell>
          <cell r="B106" t="str">
            <v>C199</v>
          </cell>
          <cell r="C106" t="str">
            <v>10</v>
          </cell>
          <cell r="D106" t="str">
            <v>10</v>
          </cell>
          <cell r="E106" t="str">
            <v>100</v>
          </cell>
          <cell r="F106" t="str">
            <v>CPT</v>
          </cell>
          <cell r="G106" t="str">
            <v>Beijing</v>
          </cell>
          <cell r="H106">
            <v>0</v>
          </cell>
          <cell r="I106" t="str">
            <v>CNY</v>
          </cell>
          <cell r="J106" t="str">
            <v/>
          </cell>
          <cell r="K106" t="str">
            <v>Z1</v>
          </cell>
          <cell r="L106" t="str">
            <v>0540</v>
          </cell>
        </row>
        <row r="107">
          <cell r="A107" t="str">
            <v>75416</v>
          </cell>
          <cell r="B107" t="str">
            <v>C074</v>
          </cell>
          <cell r="C107" t="str">
            <v>10</v>
          </cell>
          <cell r="D107" t="str">
            <v>10</v>
          </cell>
          <cell r="E107" t="str">
            <v>100</v>
          </cell>
          <cell r="F107" t="str">
            <v>DAP</v>
          </cell>
          <cell r="G107" t="str">
            <v>Ulsan</v>
          </cell>
          <cell r="H107">
            <v>0</v>
          </cell>
          <cell r="I107" t="str">
            <v>KRW</v>
          </cell>
          <cell r="J107" t="str">
            <v/>
          </cell>
          <cell r="K107" t="str">
            <v>Z1</v>
          </cell>
          <cell r="L107" t="str">
            <v>0460</v>
          </cell>
        </row>
        <row r="108">
          <cell r="A108" t="str">
            <v>75417</v>
          </cell>
          <cell r="B108" t="str">
            <v>C074</v>
          </cell>
          <cell r="C108" t="str">
            <v>10</v>
          </cell>
          <cell r="D108" t="str">
            <v>10</v>
          </cell>
          <cell r="E108" t="str">
            <v>100</v>
          </cell>
          <cell r="F108" t="str">
            <v>DAP</v>
          </cell>
          <cell r="G108" t="str">
            <v>Seoul</v>
          </cell>
          <cell r="H108">
            <v>0</v>
          </cell>
          <cell r="I108" t="str">
            <v>KRW</v>
          </cell>
          <cell r="J108" t="str">
            <v/>
          </cell>
          <cell r="K108" t="str">
            <v>Z1</v>
          </cell>
          <cell r="L108" t="str">
            <v>7709</v>
          </cell>
        </row>
        <row r="109">
          <cell r="A109" t="str">
            <v>75418</v>
          </cell>
          <cell r="B109" t="str">
            <v>C074</v>
          </cell>
          <cell r="C109" t="str">
            <v>10</v>
          </cell>
          <cell r="D109" t="str">
            <v>10</v>
          </cell>
          <cell r="E109" t="str">
            <v>100</v>
          </cell>
          <cell r="F109" t="str">
            <v>DAP</v>
          </cell>
          <cell r="G109" t="str">
            <v>Changwon-Si</v>
          </cell>
          <cell r="H109">
            <v>0</v>
          </cell>
          <cell r="I109" t="str">
            <v>KRW</v>
          </cell>
          <cell r="J109" t="str">
            <v/>
          </cell>
          <cell r="K109" t="str">
            <v>Z1</v>
          </cell>
          <cell r="L109" t="str">
            <v>7708</v>
          </cell>
        </row>
        <row r="110">
          <cell r="A110" t="str">
            <v>75419</v>
          </cell>
          <cell r="B110" t="str">
            <v>C074</v>
          </cell>
          <cell r="C110" t="str">
            <v>10</v>
          </cell>
          <cell r="D110" t="str">
            <v>10</v>
          </cell>
          <cell r="E110" t="str">
            <v>100</v>
          </cell>
          <cell r="F110" t="str">
            <v>DAP</v>
          </cell>
          <cell r="G110" t="str">
            <v>Changwon-Si</v>
          </cell>
          <cell r="H110">
            <v>0</v>
          </cell>
          <cell r="I110" t="str">
            <v>KRW</v>
          </cell>
          <cell r="J110" t="str">
            <v/>
          </cell>
          <cell r="K110" t="str">
            <v>Z1</v>
          </cell>
          <cell r="L110" t="str">
            <v>7709</v>
          </cell>
        </row>
        <row r="111">
          <cell r="A111" t="str">
            <v>76066</v>
          </cell>
          <cell r="B111" t="str">
            <v>C042</v>
          </cell>
          <cell r="C111" t="str">
            <v>10</v>
          </cell>
          <cell r="D111" t="str">
            <v>10</v>
          </cell>
          <cell r="E111" t="str">
            <v>100</v>
          </cell>
          <cell r="F111" t="str">
            <v>CIF</v>
          </cell>
          <cell r="G111" t="str">
            <v>Gurgaon</v>
          </cell>
          <cell r="H111">
            <v>0</v>
          </cell>
          <cell r="I111" t="str">
            <v>INR</v>
          </cell>
          <cell r="J111" t="str">
            <v/>
          </cell>
          <cell r="K111" t="str">
            <v>Z1</v>
          </cell>
          <cell r="L111" t="str">
            <v>Z170</v>
          </cell>
        </row>
        <row r="112">
          <cell r="A112" t="str">
            <v>76085</v>
          </cell>
          <cell r="B112" t="str">
            <v>C042</v>
          </cell>
          <cell r="C112" t="str">
            <v>10</v>
          </cell>
          <cell r="D112" t="str">
            <v>10</v>
          </cell>
          <cell r="E112" t="str">
            <v>100</v>
          </cell>
          <cell r="F112" t="str">
            <v>CIF</v>
          </cell>
          <cell r="G112" t="str">
            <v>Alwar</v>
          </cell>
          <cell r="H112">
            <v>0</v>
          </cell>
          <cell r="I112" t="str">
            <v>INR</v>
          </cell>
          <cell r="J112" t="str">
            <v/>
          </cell>
          <cell r="K112" t="str">
            <v>Z1</v>
          </cell>
          <cell r="L112" t="str">
            <v>0535</v>
          </cell>
        </row>
        <row r="113">
          <cell r="A113" t="str">
            <v>76136</v>
          </cell>
          <cell r="B113" t="str">
            <v>C042</v>
          </cell>
          <cell r="C113" t="str">
            <v>10</v>
          </cell>
          <cell r="D113" t="str">
            <v>10</v>
          </cell>
          <cell r="E113" t="str">
            <v>100</v>
          </cell>
          <cell r="F113" t="str">
            <v>CIF</v>
          </cell>
          <cell r="G113" t="str">
            <v>Greater Noida</v>
          </cell>
          <cell r="H113">
            <v>0</v>
          </cell>
          <cell r="I113" t="str">
            <v>INR</v>
          </cell>
          <cell r="J113" t="str">
            <v/>
          </cell>
          <cell r="K113" t="str">
            <v>Z1</v>
          </cell>
          <cell r="L113" t="str">
            <v>0535</v>
          </cell>
        </row>
        <row r="114">
          <cell r="A114" t="str">
            <v>76437</v>
          </cell>
          <cell r="B114" t="str">
            <v>C199</v>
          </cell>
          <cell r="C114" t="str">
            <v>10</v>
          </cell>
          <cell r="D114" t="str">
            <v>10</v>
          </cell>
          <cell r="E114" t="str">
            <v>100</v>
          </cell>
          <cell r="F114" t="str">
            <v>FCA</v>
          </cell>
          <cell r="G114" t="str">
            <v>Filderstadt</v>
          </cell>
          <cell r="H114">
            <v>0</v>
          </cell>
          <cell r="I114" t="str">
            <v>CNY</v>
          </cell>
          <cell r="J114" t="str">
            <v/>
          </cell>
          <cell r="K114" t="str">
            <v>Z2</v>
          </cell>
          <cell r="L114" t="str">
            <v>7756</v>
          </cell>
        </row>
        <row r="115">
          <cell r="A115" t="str">
            <v>76481</v>
          </cell>
          <cell r="B115" t="str">
            <v>C199</v>
          </cell>
          <cell r="C115" t="str">
            <v>10</v>
          </cell>
          <cell r="D115" t="str">
            <v>10</v>
          </cell>
          <cell r="E115" t="str">
            <v>100</v>
          </cell>
          <cell r="F115" t="str">
            <v>CPT</v>
          </cell>
          <cell r="G115" t="str">
            <v>Chongqing</v>
          </cell>
          <cell r="H115">
            <v>0</v>
          </cell>
          <cell r="I115" t="str">
            <v>CNY</v>
          </cell>
          <cell r="J115" t="str">
            <v/>
          </cell>
          <cell r="K115" t="str">
            <v>Z1</v>
          </cell>
          <cell r="L115" t="str">
            <v>0200</v>
          </cell>
        </row>
        <row r="116">
          <cell r="A116" t="str">
            <v>76563</v>
          </cell>
          <cell r="B116" t="str">
            <v>C199</v>
          </cell>
          <cell r="C116" t="str">
            <v>10</v>
          </cell>
          <cell r="D116" t="str">
            <v>10</v>
          </cell>
          <cell r="E116" t="str">
            <v>100</v>
          </cell>
          <cell r="F116" t="str">
            <v>CPT</v>
          </cell>
          <cell r="G116" t="str">
            <v>Chongqing</v>
          </cell>
          <cell r="H116">
            <v>0</v>
          </cell>
          <cell r="I116" t="str">
            <v>CNY</v>
          </cell>
          <cell r="J116" t="str">
            <v/>
          </cell>
          <cell r="K116" t="str">
            <v>Z1</v>
          </cell>
          <cell r="L116" t="str">
            <v>6740</v>
          </cell>
        </row>
        <row r="117">
          <cell r="A117" t="str">
            <v>76794</v>
          </cell>
          <cell r="B117" t="str">
            <v>C199</v>
          </cell>
          <cell r="C117" t="str">
            <v>10</v>
          </cell>
          <cell r="D117" t="str">
            <v>10</v>
          </cell>
          <cell r="E117" t="str">
            <v>100</v>
          </cell>
          <cell r="F117" t="str">
            <v>CPT</v>
          </cell>
          <cell r="G117" t="str">
            <v>Liuzhou</v>
          </cell>
          <cell r="H117">
            <v>0</v>
          </cell>
          <cell r="I117" t="str">
            <v>CNY</v>
          </cell>
          <cell r="J117" t="str">
            <v/>
          </cell>
          <cell r="K117" t="str">
            <v>Z1</v>
          </cell>
          <cell r="L117" t="str">
            <v>0540</v>
          </cell>
        </row>
        <row r="118">
          <cell r="A118" t="str">
            <v>77096</v>
          </cell>
          <cell r="B118" t="str">
            <v>C074</v>
          </cell>
          <cell r="C118" t="str">
            <v>10</v>
          </cell>
          <cell r="D118" t="str">
            <v>10</v>
          </cell>
          <cell r="E118" t="str">
            <v>100</v>
          </cell>
          <cell r="F118" t="str">
            <v>DAP</v>
          </cell>
          <cell r="G118" t="str">
            <v>Incheon</v>
          </cell>
          <cell r="H118">
            <v>0</v>
          </cell>
          <cell r="I118" t="str">
            <v>KRW</v>
          </cell>
          <cell r="J118" t="str">
            <v/>
          </cell>
          <cell r="K118" t="str">
            <v>Z1</v>
          </cell>
          <cell r="L118" t="str">
            <v>3760</v>
          </cell>
        </row>
        <row r="119">
          <cell r="A119" t="str">
            <v>77165</v>
          </cell>
          <cell r="B119" t="str">
            <v>C042</v>
          </cell>
          <cell r="C119" t="str">
            <v>10</v>
          </cell>
          <cell r="D119" t="str">
            <v>10</v>
          </cell>
          <cell r="E119" t="str">
            <v>100</v>
          </cell>
          <cell r="F119" t="str">
            <v>CIP</v>
          </cell>
          <cell r="G119" t="str">
            <v>Kandivali</v>
          </cell>
          <cell r="H119">
            <v>0</v>
          </cell>
          <cell r="I119" t="str">
            <v>INR</v>
          </cell>
          <cell r="J119" t="str">
            <v/>
          </cell>
          <cell r="K119" t="str">
            <v>Z1</v>
          </cell>
          <cell r="L119" t="str">
            <v>0460</v>
          </cell>
        </row>
        <row r="120">
          <cell r="A120" t="str">
            <v>77229</v>
          </cell>
          <cell r="B120" t="str">
            <v>C042</v>
          </cell>
          <cell r="C120" t="str">
            <v>10</v>
          </cell>
          <cell r="D120" t="str">
            <v>10</v>
          </cell>
          <cell r="E120" t="str">
            <v>100</v>
          </cell>
          <cell r="F120" t="str">
            <v>CIP</v>
          </cell>
          <cell r="G120" t="str">
            <v>Gurgaon Haryana</v>
          </cell>
          <cell r="H120">
            <v>0</v>
          </cell>
          <cell r="I120" t="str">
            <v>INR</v>
          </cell>
          <cell r="J120" t="str">
            <v/>
          </cell>
          <cell r="K120" t="str">
            <v>Z1</v>
          </cell>
          <cell r="L120" t="str">
            <v>Z170</v>
          </cell>
        </row>
        <row r="121">
          <cell r="A121" t="str">
            <v>77359</v>
          </cell>
          <cell r="B121" t="str">
            <v>C074</v>
          </cell>
          <cell r="C121" t="str">
            <v>10</v>
          </cell>
          <cell r="D121" t="str">
            <v>10</v>
          </cell>
          <cell r="E121" t="str">
            <v>100</v>
          </cell>
          <cell r="F121" t="str">
            <v>DAP</v>
          </cell>
          <cell r="G121" t="str">
            <v>Changwon-Si</v>
          </cell>
          <cell r="H121">
            <v>0</v>
          </cell>
          <cell r="I121" t="str">
            <v>KRW</v>
          </cell>
          <cell r="J121" t="str">
            <v/>
          </cell>
          <cell r="K121" t="str">
            <v>Z1</v>
          </cell>
          <cell r="L121" t="str">
            <v>7709</v>
          </cell>
        </row>
        <row r="122">
          <cell r="A122" t="str">
            <v>77410</v>
          </cell>
          <cell r="B122" t="str">
            <v>C042</v>
          </cell>
          <cell r="C122" t="str">
            <v>10</v>
          </cell>
          <cell r="D122" t="str">
            <v>10</v>
          </cell>
          <cell r="E122" t="str">
            <v>100</v>
          </cell>
          <cell r="F122" t="str">
            <v>CIP</v>
          </cell>
          <cell r="G122" t="str">
            <v>Gurgaon Haryana</v>
          </cell>
          <cell r="H122">
            <v>0</v>
          </cell>
          <cell r="I122" t="str">
            <v>INR</v>
          </cell>
          <cell r="J122" t="str">
            <v/>
          </cell>
          <cell r="K122" t="str">
            <v>Z1</v>
          </cell>
          <cell r="L122" t="str">
            <v>Z170</v>
          </cell>
        </row>
        <row r="123">
          <cell r="A123" t="str">
            <v>77499</v>
          </cell>
          <cell r="B123" t="str">
            <v>C199</v>
          </cell>
          <cell r="C123" t="str">
            <v>10</v>
          </cell>
          <cell r="D123" t="str">
            <v>10</v>
          </cell>
          <cell r="E123" t="str">
            <v>100</v>
          </cell>
          <cell r="F123" t="str">
            <v>CPT</v>
          </cell>
          <cell r="G123" t="str">
            <v>Ningbo</v>
          </cell>
          <cell r="H123">
            <v>0</v>
          </cell>
          <cell r="I123" t="str">
            <v>CNY</v>
          </cell>
          <cell r="J123" t="str">
            <v/>
          </cell>
          <cell r="K123" t="str">
            <v>Z1</v>
          </cell>
          <cell r="L123" t="str">
            <v>3480</v>
          </cell>
        </row>
        <row r="124">
          <cell r="A124" t="str">
            <v>77865</v>
          </cell>
          <cell r="B124" t="str">
            <v>C042</v>
          </cell>
          <cell r="C124" t="str">
            <v>10</v>
          </cell>
          <cell r="D124" t="str">
            <v>10</v>
          </cell>
          <cell r="E124" t="str">
            <v>100</v>
          </cell>
          <cell r="F124" t="str">
            <v>CIP</v>
          </cell>
          <cell r="G124" t="str">
            <v>Gurgaon Haryana</v>
          </cell>
          <cell r="H124">
            <v>0</v>
          </cell>
          <cell r="I124" t="str">
            <v>INR</v>
          </cell>
          <cell r="J124" t="str">
            <v/>
          </cell>
          <cell r="K124" t="str">
            <v>Z1</v>
          </cell>
          <cell r="L124" t="str">
            <v>Z170</v>
          </cell>
        </row>
        <row r="125">
          <cell r="A125" t="str">
            <v>77893</v>
          </cell>
          <cell r="B125" t="str">
            <v>C042</v>
          </cell>
          <cell r="C125" t="str">
            <v>10</v>
          </cell>
          <cell r="D125" t="str">
            <v>10</v>
          </cell>
          <cell r="E125" t="str">
            <v>100</v>
          </cell>
          <cell r="F125" t="str">
            <v>CIP</v>
          </cell>
          <cell r="G125" t="str">
            <v>Chakan</v>
          </cell>
          <cell r="H125">
            <v>0</v>
          </cell>
          <cell r="I125" t="str">
            <v>INR</v>
          </cell>
          <cell r="J125" t="str">
            <v/>
          </cell>
          <cell r="K125" t="str">
            <v>Z1</v>
          </cell>
          <cell r="L125" t="str">
            <v>0540</v>
          </cell>
        </row>
        <row r="126">
          <cell r="A126" t="str">
            <v>77944</v>
          </cell>
          <cell r="B126" t="str">
            <v>C042</v>
          </cell>
          <cell r="C126" t="str">
            <v>10</v>
          </cell>
          <cell r="D126" t="str">
            <v>10</v>
          </cell>
          <cell r="E126" t="str">
            <v>100</v>
          </cell>
          <cell r="F126" t="str">
            <v>CIF</v>
          </cell>
          <cell r="G126" t="str">
            <v>Mattur</v>
          </cell>
          <cell r="H126">
            <v>0</v>
          </cell>
          <cell r="I126" t="str">
            <v>INR</v>
          </cell>
          <cell r="J126" t="str">
            <v/>
          </cell>
          <cell r="K126" t="str">
            <v>Z1</v>
          </cell>
          <cell r="L126" t="str">
            <v>0540</v>
          </cell>
        </row>
        <row r="127">
          <cell r="A127" t="str">
            <v>77948</v>
          </cell>
          <cell r="B127" t="str">
            <v>C042</v>
          </cell>
          <cell r="C127" t="str">
            <v>10</v>
          </cell>
          <cell r="D127" t="str">
            <v>10</v>
          </cell>
          <cell r="E127" t="str">
            <v>100</v>
          </cell>
          <cell r="F127" t="str">
            <v>CIP</v>
          </cell>
          <cell r="G127" t="str">
            <v>Chennai</v>
          </cell>
          <cell r="H127">
            <v>0</v>
          </cell>
          <cell r="I127" t="str">
            <v>INR</v>
          </cell>
          <cell r="J127" t="str">
            <v/>
          </cell>
          <cell r="K127" t="str">
            <v>Z1</v>
          </cell>
          <cell r="L127" t="str">
            <v>0460</v>
          </cell>
        </row>
        <row r="128">
          <cell r="A128" t="str">
            <v>78002</v>
          </cell>
          <cell r="B128" t="str">
            <v>C074</v>
          </cell>
          <cell r="C128" t="str">
            <v>10</v>
          </cell>
          <cell r="D128" t="str">
            <v>10</v>
          </cell>
          <cell r="E128" t="str">
            <v>100</v>
          </cell>
          <cell r="F128" t="str">
            <v>DAP</v>
          </cell>
          <cell r="G128" t="str">
            <v>Asan-si</v>
          </cell>
          <cell r="H128">
            <v>0</v>
          </cell>
          <cell r="I128" t="str">
            <v>KRW</v>
          </cell>
          <cell r="J128" t="str">
            <v/>
          </cell>
          <cell r="K128" t="str">
            <v>Z1</v>
          </cell>
          <cell r="L128" t="str">
            <v>7709</v>
          </cell>
        </row>
        <row r="129">
          <cell r="A129" t="str">
            <v>78063</v>
          </cell>
          <cell r="B129" t="str">
            <v>C042</v>
          </cell>
          <cell r="C129" t="str">
            <v>10</v>
          </cell>
          <cell r="D129" t="str">
            <v>10</v>
          </cell>
          <cell r="E129" t="str">
            <v>100</v>
          </cell>
          <cell r="F129" t="str">
            <v>CIP</v>
          </cell>
          <cell r="G129" t="str">
            <v>Pune</v>
          </cell>
          <cell r="H129">
            <v>0</v>
          </cell>
          <cell r="I129" t="str">
            <v>INR</v>
          </cell>
          <cell r="J129" t="str">
            <v/>
          </cell>
          <cell r="K129" t="str">
            <v>Z1</v>
          </cell>
          <cell r="L129" t="str">
            <v>0460</v>
          </cell>
        </row>
        <row r="130">
          <cell r="A130" t="str">
            <v>78065</v>
          </cell>
          <cell r="B130" t="str">
            <v>C074</v>
          </cell>
          <cell r="C130" t="str">
            <v>10</v>
          </cell>
          <cell r="D130" t="str">
            <v>10</v>
          </cell>
          <cell r="E130" t="str">
            <v>100</v>
          </cell>
          <cell r="F130" t="str">
            <v/>
          </cell>
          <cell r="G130" t="str">
            <v/>
          </cell>
          <cell r="H130">
            <v>0</v>
          </cell>
          <cell r="I130" t="str">
            <v>KRW</v>
          </cell>
          <cell r="J130" t="str">
            <v/>
          </cell>
          <cell r="K130" t="str">
            <v/>
          </cell>
          <cell r="L130" t="str">
            <v/>
          </cell>
        </row>
        <row r="131">
          <cell r="A131" t="str">
            <v>78189</v>
          </cell>
          <cell r="B131" t="str">
            <v>C042</v>
          </cell>
          <cell r="C131" t="str">
            <v>10</v>
          </cell>
          <cell r="D131" t="str">
            <v>10</v>
          </cell>
          <cell r="E131" t="str">
            <v>100</v>
          </cell>
          <cell r="F131" t="str">
            <v>CIP</v>
          </cell>
          <cell r="G131" t="str">
            <v>Chakan</v>
          </cell>
          <cell r="H131">
            <v>0</v>
          </cell>
          <cell r="I131" t="str">
            <v>INR</v>
          </cell>
          <cell r="J131" t="str">
            <v/>
          </cell>
          <cell r="K131" t="str">
            <v>Z1</v>
          </cell>
          <cell r="L131" t="str">
            <v>0540</v>
          </cell>
        </row>
        <row r="132">
          <cell r="A132" t="str">
            <v>79038</v>
          </cell>
          <cell r="B132" t="str">
            <v>C199</v>
          </cell>
          <cell r="C132" t="str">
            <v>10</v>
          </cell>
          <cell r="D132" t="str">
            <v>10</v>
          </cell>
          <cell r="E132" t="str">
            <v>100</v>
          </cell>
          <cell r="F132" t="str">
            <v>CPT</v>
          </cell>
          <cell r="G132" t="str">
            <v>Shanghai</v>
          </cell>
          <cell r="H132">
            <v>0</v>
          </cell>
          <cell r="I132" t="str">
            <v>CNY</v>
          </cell>
          <cell r="J132" t="str">
            <v/>
          </cell>
          <cell r="K132" t="str">
            <v>Z1</v>
          </cell>
          <cell r="L132" t="str">
            <v>7602</v>
          </cell>
        </row>
        <row r="133">
          <cell r="A133" t="str">
            <v>79232</v>
          </cell>
          <cell r="B133" t="str">
            <v>C199</v>
          </cell>
          <cell r="C133" t="str">
            <v>10</v>
          </cell>
          <cell r="D133" t="str">
            <v>10</v>
          </cell>
          <cell r="E133" t="str">
            <v>100</v>
          </cell>
          <cell r="F133" t="str">
            <v>CPT</v>
          </cell>
          <cell r="G133" t="str">
            <v>Shanghai</v>
          </cell>
          <cell r="H133">
            <v>0</v>
          </cell>
          <cell r="I133" t="str">
            <v>CNY</v>
          </cell>
          <cell r="J133" t="str">
            <v/>
          </cell>
          <cell r="K133" t="str">
            <v>Z1</v>
          </cell>
          <cell r="L133" t="str">
            <v>3480</v>
          </cell>
        </row>
        <row r="134">
          <cell r="A134" t="str">
            <v>79662</v>
          </cell>
          <cell r="B134" t="str">
            <v>C199</v>
          </cell>
          <cell r="C134" t="str">
            <v>10</v>
          </cell>
          <cell r="D134" t="str">
            <v>10</v>
          </cell>
          <cell r="E134" t="str">
            <v>100</v>
          </cell>
          <cell r="F134" t="str">
            <v>CPT</v>
          </cell>
          <cell r="G134" t="str">
            <v>Hefei</v>
          </cell>
          <cell r="H134">
            <v>0</v>
          </cell>
          <cell r="I134" t="str">
            <v>CNY</v>
          </cell>
          <cell r="J134" t="str">
            <v/>
          </cell>
          <cell r="K134" t="str">
            <v>Z1</v>
          </cell>
          <cell r="L134" t="str">
            <v>3600</v>
          </cell>
        </row>
        <row r="135">
          <cell r="A135" t="str">
            <v>79972</v>
          </cell>
          <cell r="B135" t="str">
            <v>C199</v>
          </cell>
          <cell r="C135" t="str">
            <v>10</v>
          </cell>
          <cell r="D135" t="str">
            <v>10</v>
          </cell>
          <cell r="E135" t="str">
            <v>100</v>
          </cell>
          <cell r="F135" t="str">
            <v>CPT</v>
          </cell>
          <cell r="G135" t="str">
            <v>Baoding</v>
          </cell>
          <cell r="H135">
            <v>0</v>
          </cell>
          <cell r="I135" t="str">
            <v>CNY</v>
          </cell>
          <cell r="J135" t="str">
            <v/>
          </cell>
          <cell r="K135" t="str">
            <v>Z1</v>
          </cell>
          <cell r="L135" t="str">
            <v>3700</v>
          </cell>
        </row>
        <row r="136">
          <cell r="A136" t="str">
            <v>81010</v>
          </cell>
          <cell r="B136" t="str">
            <v>C199</v>
          </cell>
          <cell r="C136" t="str">
            <v>10</v>
          </cell>
          <cell r="D136" t="str">
            <v>10</v>
          </cell>
          <cell r="E136" t="str">
            <v>100</v>
          </cell>
          <cell r="F136" t="str">
            <v>CPT</v>
          </cell>
          <cell r="G136" t="str">
            <v>Nanchang</v>
          </cell>
          <cell r="H136">
            <v>0</v>
          </cell>
          <cell r="I136" t="str">
            <v>CNY</v>
          </cell>
          <cell r="J136" t="str">
            <v/>
          </cell>
          <cell r="K136" t="str">
            <v>Z1</v>
          </cell>
          <cell r="L136" t="str">
            <v>AUTO</v>
          </cell>
        </row>
        <row r="137">
          <cell r="A137" t="str">
            <v>81025</v>
          </cell>
          <cell r="B137" t="str">
            <v>C042</v>
          </cell>
          <cell r="C137" t="str">
            <v>10</v>
          </cell>
          <cell r="D137" t="str">
            <v>10</v>
          </cell>
          <cell r="E137" t="str">
            <v>100</v>
          </cell>
          <cell r="F137" t="str">
            <v>EXW</v>
          </cell>
          <cell r="G137" t="str">
            <v>Pune</v>
          </cell>
          <cell r="H137">
            <v>0</v>
          </cell>
          <cell r="I137" t="str">
            <v>USD</v>
          </cell>
          <cell r="J137" t="str">
            <v/>
          </cell>
          <cell r="K137" t="str">
            <v>Z2</v>
          </cell>
          <cell r="L137" t="str">
            <v>Z910</v>
          </cell>
        </row>
        <row r="138">
          <cell r="A138" t="str">
            <v>81363</v>
          </cell>
          <cell r="B138" t="str">
            <v>C199</v>
          </cell>
          <cell r="C138" t="str">
            <v>10</v>
          </cell>
          <cell r="D138" t="str">
            <v>10</v>
          </cell>
          <cell r="E138" t="str">
            <v>100</v>
          </cell>
          <cell r="F138" t="str">
            <v>EXW</v>
          </cell>
          <cell r="G138" t="str">
            <v>Filderstadt</v>
          </cell>
          <cell r="H138">
            <v>0</v>
          </cell>
          <cell r="I138" t="str">
            <v>CNY</v>
          </cell>
          <cell r="J138" t="str">
            <v/>
          </cell>
          <cell r="K138" t="str">
            <v>Z1</v>
          </cell>
          <cell r="L138" t="str">
            <v>Z439</v>
          </cell>
        </row>
        <row r="139">
          <cell r="A139" t="str">
            <v>81579</v>
          </cell>
          <cell r="B139" t="str">
            <v>C199</v>
          </cell>
          <cell r="C139" t="str">
            <v>10</v>
          </cell>
          <cell r="D139" t="str">
            <v>10</v>
          </cell>
          <cell r="E139" t="str">
            <v>100</v>
          </cell>
          <cell r="F139" t="str">
            <v>CPT</v>
          </cell>
          <cell r="G139" t="str">
            <v>Yancheng</v>
          </cell>
          <cell r="H139">
            <v>0</v>
          </cell>
          <cell r="I139" t="str">
            <v>CNY</v>
          </cell>
          <cell r="J139" t="str">
            <v/>
          </cell>
          <cell r="K139" t="str">
            <v>Z1</v>
          </cell>
          <cell r="L139" t="str">
            <v>0540</v>
          </cell>
        </row>
        <row r="140">
          <cell r="A140" t="str">
            <v>81692</v>
          </cell>
          <cell r="B140" t="str">
            <v>C199</v>
          </cell>
          <cell r="C140" t="str">
            <v>10</v>
          </cell>
          <cell r="D140" t="str">
            <v>10</v>
          </cell>
          <cell r="E140" t="str">
            <v>100</v>
          </cell>
          <cell r="F140" t="str">
            <v>EXW</v>
          </cell>
          <cell r="G140" t="str">
            <v>Kunshan</v>
          </cell>
          <cell r="H140">
            <v>0</v>
          </cell>
          <cell r="I140" t="str">
            <v>CNY</v>
          </cell>
          <cell r="J140" t="str">
            <v/>
          </cell>
          <cell r="K140" t="str">
            <v>Z1</v>
          </cell>
          <cell r="L140" t="str">
            <v>0520</v>
          </cell>
        </row>
        <row r="141">
          <cell r="A141" t="str">
            <v>82332</v>
          </cell>
          <cell r="B141" t="str">
            <v>C199</v>
          </cell>
          <cell r="C141" t="str">
            <v>10</v>
          </cell>
          <cell r="D141" t="str">
            <v>10</v>
          </cell>
          <cell r="E141" t="str">
            <v>100</v>
          </cell>
          <cell r="F141" t="str">
            <v>CPT</v>
          </cell>
          <cell r="G141" t="str">
            <v>Shenzhen</v>
          </cell>
          <cell r="H141">
            <v>0</v>
          </cell>
          <cell r="I141" t="str">
            <v>CNY</v>
          </cell>
          <cell r="J141" t="str">
            <v/>
          </cell>
          <cell r="K141" t="str">
            <v>Z1</v>
          </cell>
          <cell r="L141" t="str">
            <v>3480</v>
          </cell>
        </row>
        <row r="142">
          <cell r="A142" t="str">
            <v>82913</v>
          </cell>
          <cell r="B142" t="str">
            <v>C042</v>
          </cell>
          <cell r="C142" t="str">
            <v>10</v>
          </cell>
          <cell r="D142" t="str">
            <v>10</v>
          </cell>
          <cell r="E142" t="str">
            <v>100</v>
          </cell>
          <cell r="F142" t="str">
            <v>FCA</v>
          </cell>
          <cell r="G142" t="str">
            <v>Pune</v>
          </cell>
          <cell r="H142">
            <v>0</v>
          </cell>
          <cell r="I142" t="str">
            <v>USD</v>
          </cell>
          <cell r="J142" t="str">
            <v/>
          </cell>
          <cell r="K142" t="str">
            <v>Z4</v>
          </cell>
          <cell r="L142" t="str">
            <v>0540</v>
          </cell>
        </row>
        <row r="143">
          <cell r="A143" t="str">
            <v>82913</v>
          </cell>
          <cell r="B143" t="str">
            <v>C074</v>
          </cell>
          <cell r="C143" t="str">
            <v>10</v>
          </cell>
          <cell r="D143" t="str">
            <v>10</v>
          </cell>
          <cell r="E143" t="str">
            <v>100</v>
          </cell>
          <cell r="F143" t="str">
            <v>FCA</v>
          </cell>
          <cell r="G143" t="str">
            <v>Kyonggi-do</v>
          </cell>
          <cell r="H143">
            <v>0</v>
          </cell>
          <cell r="I143" t="str">
            <v>USD</v>
          </cell>
          <cell r="J143" t="str">
            <v/>
          </cell>
          <cell r="K143" t="str">
            <v>Z4</v>
          </cell>
          <cell r="L143" t="str">
            <v>0540</v>
          </cell>
        </row>
        <row r="144">
          <cell r="A144" t="str">
            <v>83111</v>
          </cell>
          <cell r="B144" t="str">
            <v>C042</v>
          </cell>
          <cell r="C144" t="str">
            <v>10</v>
          </cell>
          <cell r="D144" t="str">
            <v>10</v>
          </cell>
          <cell r="E144" t="str">
            <v>100</v>
          </cell>
          <cell r="F144" t="str">
            <v>CIP</v>
          </cell>
          <cell r="G144" t="str">
            <v>Pune</v>
          </cell>
          <cell r="H144">
            <v>0</v>
          </cell>
          <cell r="I144" t="str">
            <v>INR</v>
          </cell>
          <cell r="J144" t="str">
            <v/>
          </cell>
          <cell r="K144" t="str">
            <v>Z1</v>
          </cell>
          <cell r="L144" t="str">
            <v>7604</v>
          </cell>
        </row>
        <row r="145">
          <cell r="A145" t="str">
            <v>83353</v>
          </cell>
          <cell r="B145" t="str">
            <v>C199</v>
          </cell>
          <cell r="C145" t="str">
            <v>10</v>
          </cell>
          <cell r="D145" t="str">
            <v>10</v>
          </cell>
          <cell r="E145" t="str">
            <v>100</v>
          </cell>
          <cell r="F145" t="str">
            <v>CPT</v>
          </cell>
          <cell r="G145" t="str">
            <v>Ningbo</v>
          </cell>
          <cell r="H145">
            <v>0</v>
          </cell>
          <cell r="I145" t="str">
            <v>CNY</v>
          </cell>
          <cell r="J145" t="str">
            <v/>
          </cell>
          <cell r="K145" t="str">
            <v>Z1</v>
          </cell>
          <cell r="L145" t="str">
            <v>0520</v>
          </cell>
        </row>
        <row r="146">
          <cell r="A146" t="str">
            <v>83388</v>
          </cell>
          <cell r="B146" t="str">
            <v>C199</v>
          </cell>
          <cell r="C146" t="str">
            <v>10</v>
          </cell>
          <cell r="D146" t="str">
            <v>10</v>
          </cell>
          <cell r="E146" t="str">
            <v>100</v>
          </cell>
          <cell r="F146" t="str">
            <v>CPT</v>
          </cell>
          <cell r="G146" t="str">
            <v>Xi'an</v>
          </cell>
          <cell r="H146">
            <v>0</v>
          </cell>
          <cell r="I146" t="str">
            <v>CNY</v>
          </cell>
          <cell r="J146" t="str">
            <v/>
          </cell>
          <cell r="K146" t="str">
            <v>Z1</v>
          </cell>
          <cell r="L146" t="str">
            <v>0200</v>
          </cell>
        </row>
        <row r="147">
          <cell r="A147" t="str">
            <v>83732</v>
          </cell>
          <cell r="B147" t="str">
            <v>C199</v>
          </cell>
          <cell r="C147" t="str">
            <v>10</v>
          </cell>
          <cell r="D147" t="str">
            <v>10</v>
          </cell>
          <cell r="E147" t="str">
            <v>100</v>
          </cell>
          <cell r="F147" t="str">
            <v/>
          </cell>
          <cell r="G147" t="str">
            <v/>
          </cell>
          <cell r="H147">
            <v>0</v>
          </cell>
          <cell r="I147" t="str">
            <v>CNY</v>
          </cell>
          <cell r="J147" t="str">
            <v/>
          </cell>
          <cell r="K147" t="str">
            <v/>
          </cell>
          <cell r="L147" t="str">
            <v/>
          </cell>
        </row>
        <row r="148">
          <cell r="A148" t="str">
            <v>83814</v>
          </cell>
          <cell r="B148" t="str">
            <v>C042</v>
          </cell>
          <cell r="C148" t="str">
            <v>10</v>
          </cell>
          <cell r="D148" t="str">
            <v>10</v>
          </cell>
          <cell r="E148" t="str">
            <v>100</v>
          </cell>
          <cell r="F148" t="str">
            <v>CIP</v>
          </cell>
          <cell r="G148" t="str">
            <v>Greater Noida, UP</v>
          </cell>
          <cell r="H148">
            <v>0</v>
          </cell>
          <cell r="I148" t="str">
            <v>INR</v>
          </cell>
          <cell r="J148" t="str">
            <v/>
          </cell>
          <cell r="K148" t="str">
            <v>Z1</v>
          </cell>
          <cell r="L148" t="str">
            <v>0535</v>
          </cell>
        </row>
        <row r="149">
          <cell r="A149" t="str">
            <v>84138</v>
          </cell>
          <cell r="B149" t="str">
            <v>C074</v>
          </cell>
          <cell r="C149" t="str">
            <v>10</v>
          </cell>
          <cell r="D149" t="str">
            <v>10</v>
          </cell>
          <cell r="E149" t="str">
            <v>100</v>
          </cell>
          <cell r="F149" t="str">
            <v>DAP</v>
          </cell>
          <cell r="G149" t="str">
            <v>Ulsan</v>
          </cell>
          <cell r="H149">
            <v>0</v>
          </cell>
          <cell r="I149" t="str">
            <v>KRW</v>
          </cell>
          <cell r="J149" t="str">
            <v/>
          </cell>
          <cell r="K149" t="str">
            <v>Z1</v>
          </cell>
          <cell r="L149" t="str">
            <v>7705</v>
          </cell>
        </row>
        <row r="150">
          <cell r="A150" t="str">
            <v>84747</v>
          </cell>
          <cell r="B150" t="str">
            <v>C199</v>
          </cell>
          <cell r="C150" t="str">
            <v>10</v>
          </cell>
          <cell r="D150" t="str">
            <v>10</v>
          </cell>
          <cell r="E150" t="str">
            <v>100</v>
          </cell>
          <cell r="F150" t="str">
            <v>EXW</v>
          </cell>
          <cell r="G150" t="str">
            <v>Filderstadt</v>
          </cell>
          <cell r="H150">
            <v>0</v>
          </cell>
          <cell r="I150" t="str">
            <v>CNY</v>
          </cell>
          <cell r="J150" t="str">
            <v/>
          </cell>
          <cell r="K150" t="str">
            <v>Z1</v>
          </cell>
          <cell r="L150" t="str">
            <v>0540</v>
          </cell>
        </row>
        <row r="151">
          <cell r="A151" t="str">
            <v>84789</v>
          </cell>
          <cell r="B151" t="str">
            <v>C199</v>
          </cell>
          <cell r="C151" t="str">
            <v>10</v>
          </cell>
          <cell r="D151" t="str">
            <v>10</v>
          </cell>
          <cell r="E151" t="str">
            <v>100</v>
          </cell>
          <cell r="F151" t="str">
            <v>CPT</v>
          </cell>
          <cell r="G151" t="str">
            <v>Chongqing</v>
          </cell>
          <cell r="H151">
            <v>0</v>
          </cell>
          <cell r="I151" t="str">
            <v>CNY</v>
          </cell>
          <cell r="J151" t="str">
            <v/>
          </cell>
          <cell r="K151" t="str">
            <v>Z1</v>
          </cell>
          <cell r="L151" t="str">
            <v>3480</v>
          </cell>
        </row>
        <row r="152">
          <cell r="A152" t="str">
            <v>85013</v>
          </cell>
          <cell r="B152" t="str">
            <v>C074</v>
          </cell>
          <cell r="C152" t="str">
            <v>10</v>
          </cell>
          <cell r="D152" t="str">
            <v>10</v>
          </cell>
          <cell r="E152" t="str">
            <v>100</v>
          </cell>
          <cell r="F152" t="str">
            <v/>
          </cell>
          <cell r="G152" t="str">
            <v/>
          </cell>
          <cell r="H152">
            <v>0</v>
          </cell>
          <cell r="I152" t="str">
            <v>KRW</v>
          </cell>
          <cell r="J152" t="str">
            <v/>
          </cell>
          <cell r="K152" t="str">
            <v>Z1</v>
          </cell>
          <cell r="L152" t="str">
            <v/>
          </cell>
        </row>
        <row r="153">
          <cell r="A153" t="str">
            <v>85607</v>
          </cell>
          <cell r="B153" t="str">
            <v>C074</v>
          </cell>
          <cell r="C153" t="str">
            <v>10</v>
          </cell>
          <cell r="D153" t="str">
            <v>10</v>
          </cell>
          <cell r="E153" t="str">
            <v>100</v>
          </cell>
          <cell r="F153" t="str">
            <v>DAP</v>
          </cell>
          <cell r="G153" t="str">
            <v>Changwon-si</v>
          </cell>
          <cell r="H153">
            <v>0</v>
          </cell>
          <cell r="I153" t="str">
            <v>KRW</v>
          </cell>
          <cell r="J153" t="str">
            <v/>
          </cell>
          <cell r="K153" t="str">
            <v>Z1</v>
          </cell>
          <cell r="L153" t="str">
            <v>7709</v>
          </cell>
        </row>
        <row r="154">
          <cell r="A154" t="str">
            <v>86562</v>
          </cell>
          <cell r="B154" t="str">
            <v>C074</v>
          </cell>
          <cell r="C154" t="str">
            <v>10</v>
          </cell>
          <cell r="D154" t="str">
            <v>10</v>
          </cell>
          <cell r="E154" t="str">
            <v>100</v>
          </cell>
          <cell r="F154" t="str">
            <v/>
          </cell>
          <cell r="G154" t="str">
            <v/>
          </cell>
          <cell r="H154">
            <v>0</v>
          </cell>
          <cell r="I154" t="str">
            <v>KRW</v>
          </cell>
          <cell r="J154" t="str">
            <v/>
          </cell>
          <cell r="K154" t="str">
            <v>Z1</v>
          </cell>
          <cell r="L154" t="str">
            <v/>
          </cell>
        </row>
        <row r="155">
          <cell r="A155" t="str">
            <v>87019</v>
          </cell>
          <cell r="B155" t="str">
            <v>C042</v>
          </cell>
          <cell r="C155" t="str">
            <v>10</v>
          </cell>
          <cell r="D155" t="str">
            <v>10</v>
          </cell>
          <cell r="E155" t="str">
            <v>100</v>
          </cell>
          <cell r="F155" t="str">
            <v>EXW</v>
          </cell>
          <cell r="G155" t="str">
            <v>Pune</v>
          </cell>
          <cell r="H155">
            <v>0</v>
          </cell>
          <cell r="I155" t="str">
            <v>INR</v>
          </cell>
          <cell r="J155" t="str">
            <v/>
          </cell>
          <cell r="K155" t="str">
            <v>Z1</v>
          </cell>
          <cell r="L155" t="str">
            <v>0460</v>
          </cell>
        </row>
        <row r="156">
          <cell r="A156" t="str">
            <v>89625</v>
          </cell>
          <cell r="B156" t="str">
            <v>C042</v>
          </cell>
          <cell r="C156" t="str">
            <v>10</v>
          </cell>
          <cell r="D156" t="str">
            <v>10</v>
          </cell>
          <cell r="E156" t="str">
            <v>100</v>
          </cell>
          <cell r="F156" t="str">
            <v>FCA</v>
          </cell>
          <cell r="G156" t="str">
            <v>Pune</v>
          </cell>
          <cell r="H156">
            <v>0</v>
          </cell>
          <cell r="I156" t="str">
            <v>INR</v>
          </cell>
          <cell r="J156" t="str">
            <v/>
          </cell>
          <cell r="K156" t="str">
            <v>Z1</v>
          </cell>
          <cell r="L156" t="str">
            <v>0520</v>
          </cell>
        </row>
        <row r="157">
          <cell r="A157" t="str">
            <v>89654</v>
          </cell>
          <cell r="B157" t="str">
            <v>C042</v>
          </cell>
          <cell r="C157" t="str">
            <v>10</v>
          </cell>
          <cell r="D157" t="str">
            <v>10</v>
          </cell>
          <cell r="E157" t="str">
            <v>100</v>
          </cell>
          <cell r="F157" t="str">
            <v>FCA</v>
          </cell>
          <cell r="G157" t="str">
            <v>Pune</v>
          </cell>
          <cell r="H157">
            <v>0</v>
          </cell>
          <cell r="I157" t="str">
            <v>INR</v>
          </cell>
          <cell r="J157" t="str">
            <v/>
          </cell>
          <cell r="K157" t="str">
            <v>Z1</v>
          </cell>
          <cell r="L157" t="str">
            <v>0540</v>
          </cell>
        </row>
        <row r="158">
          <cell r="A158" t="str">
            <v>89746</v>
          </cell>
          <cell r="B158" t="str">
            <v>C042</v>
          </cell>
          <cell r="C158" t="str">
            <v>10</v>
          </cell>
          <cell r="D158" t="str">
            <v>10</v>
          </cell>
          <cell r="E158" t="str">
            <v>100</v>
          </cell>
          <cell r="F158" t="str">
            <v>CIP</v>
          </cell>
          <cell r="G158" t="str">
            <v>Dhar, MP</v>
          </cell>
          <cell r="H158">
            <v>0</v>
          </cell>
          <cell r="I158" t="str">
            <v>INR</v>
          </cell>
          <cell r="J158" t="str">
            <v/>
          </cell>
          <cell r="K158" t="str">
            <v>Z1</v>
          </cell>
          <cell r="L158" t="str">
            <v>0540</v>
          </cell>
        </row>
        <row r="159">
          <cell r="A159" t="str">
            <v>89830</v>
          </cell>
          <cell r="B159" t="str">
            <v>C042</v>
          </cell>
          <cell r="C159" t="str">
            <v>10</v>
          </cell>
          <cell r="D159" t="str">
            <v>10</v>
          </cell>
          <cell r="E159" t="str">
            <v>100</v>
          </cell>
          <cell r="F159" t="str">
            <v>CIF</v>
          </cell>
          <cell r="G159" t="str">
            <v>Kancheepuram District</v>
          </cell>
          <cell r="H159">
            <v>0</v>
          </cell>
          <cell r="I159" t="str">
            <v>INR</v>
          </cell>
          <cell r="J159" t="str">
            <v/>
          </cell>
          <cell r="K159" t="str">
            <v>Z1</v>
          </cell>
          <cell r="L159" t="str">
            <v>0520</v>
          </cell>
        </row>
        <row r="160">
          <cell r="A160" t="str">
            <v>90152</v>
          </cell>
          <cell r="B160" t="str">
            <v>C042</v>
          </cell>
          <cell r="C160" t="str">
            <v>10</v>
          </cell>
          <cell r="D160" t="str">
            <v>10</v>
          </cell>
          <cell r="E160" t="str">
            <v>100</v>
          </cell>
          <cell r="F160" t="str">
            <v>CIP</v>
          </cell>
          <cell r="G160" t="str">
            <v>Hosur, TN</v>
          </cell>
          <cell r="H160">
            <v>0</v>
          </cell>
          <cell r="I160" t="str">
            <v>INR</v>
          </cell>
          <cell r="J160" t="str">
            <v/>
          </cell>
          <cell r="K160" t="str">
            <v>Z1</v>
          </cell>
          <cell r="L160" t="str">
            <v>0520</v>
          </cell>
        </row>
        <row r="161">
          <cell r="A161" t="str">
            <v>90155</v>
          </cell>
          <cell r="B161" t="str">
            <v>C042</v>
          </cell>
          <cell r="C161" t="str">
            <v>10</v>
          </cell>
          <cell r="D161" t="str">
            <v>10</v>
          </cell>
          <cell r="E161" t="str">
            <v>100</v>
          </cell>
          <cell r="F161" t="str">
            <v>CIP</v>
          </cell>
          <cell r="G161" t="str">
            <v>Waluj</v>
          </cell>
          <cell r="H161">
            <v>0</v>
          </cell>
          <cell r="I161" t="str">
            <v>INR</v>
          </cell>
          <cell r="J161" t="str">
            <v/>
          </cell>
          <cell r="K161" t="str">
            <v>Z1</v>
          </cell>
          <cell r="L161" t="str">
            <v>Z225</v>
          </cell>
        </row>
        <row r="162">
          <cell r="A162" t="str">
            <v>90540</v>
          </cell>
          <cell r="B162" t="str">
            <v>C199</v>
          </cell>
          <cell r="C162" t="str">
            <v>10</v>
          </cell>
          <cell r="D162" t="str">
            <v>10</v>
          </cell>
          <cell r="E162" t="str">
            <v>100</v>
          </cell>
          <cell r="F162" t="str">
            <v>CPT</v>
          </cell>
          <cell r="G162" t="str">
            <v>Liuzhou</v>
          </cell>
          <cell r="H162">
            <v>0</v>
          </cell>
          <cell r="I162" t="str">
            <v>CNY</v>
          </cell>
          <cell r="J162" t="str">
            <v/>
          </cell>
          <cell r="K162" t="str">
            <v>Z1</v>
          </cell>
          <cell r="L162" t="str">
            <v>6720</v>
          </cell>
        </row>
        <row r="163">
          <cell r="A163" t="str">
            <v>90577</v>
          </cell>
          <cell r="B163" t="str">
            <v>C042</v>
          </cell>
          <cell r="C163" t="str">
            <v>10</v>
          </cell>
          <cell r="D163" t="str">
            <v>10</v>
          </cell>
          <cell r="E163" t="str">
            <v>100</v>
          </cell>
          <cell r="F163" t="str">
            <v>CIF</v>
          </cell>
          <cell r="G163" t="str">
            <v>Jaipur</v>
          </cell>
          <cell r="H163">
            <v>0</v>
          </cell>
          <cell r="I163" t="str">
            <v>INR</v>
          </cell>
          <cell r="J163" t="str">
            <v/>
          </cell>
          <cell r="K163" t="str">
            <v>Z1</v>
          </cell>
          <cell r="L163" t="str">
            <v>7604</v>
          </cell>
        </row>
        <row r="164">
          <cell r="A164" t="str">
            <v>90671</v>
          </cell>
          <cell r="B164" t="str">
            <v>C199</v>
          </cell>
          <cell r="C164" t="str">
            <v>10</v>
          </cell>
          <cell r="D164" t="str">
            <v>10</v>
          </cell>
          <cell r="E164" t="str">
            <v>100</v>
          </cell>
          <cell r="F164" t="str">
            <v>CPT</v>
          </cell>
          <cell r="G164" t="str">
            <v>Chongqing</v>
          </cell>
          <cell r="H164">
            <v>0</v>
          </cell>
          <cell r="I164" t="str">
            <v>CNY</v>
          </cell>
          <cell r="J164" t="str">
            <v/>
          </cell>
          <cell r="K164" t="str">
            <v>01</v>
          </cell>
          <cell r="L164" t="str">
            <v>0560</v>
          </cell>
        </row>
        <row r="165">
          <cell r="A165" t="str">
            <v>90720</v>
          </cell>
          <cell r="B165" t="str">
            <v>C199</v>
          </cell>
          <cell r="C165" t="str">
            <v>10</v>
          </cell>
          <cell r="D165" t="str">
            <v>10</v>
          </cell>
          <cell r="E165" t="str">
            <v>100</v>
          </cell>
          <cell r="F165" t="str">
            <v>CPT</v>
          </cell>
          <cell r="G165" t="str">
            <v>Wuhu</v>
          </cell>
          <cell r="H165">
            <v>0</v>
          </cell>
          <cell r="I165" t="str">
            <v>CNY</v>
          </cell>
          <cell r="J165" t="str">
            <v/>
          </cell>
          <cell r="K165" t="str">
            <v>Z1</v>
          </cell>
          <cell r="L165" t="str">
            <v>0460</v>
          </cell>
        </row>
        <row r="166">
          <cell r="A166" t="str">
            <v>90767</v>
          </cell>
          <cell r="B166" t="str">
            <v>C042</v>
          </cell>
          <cell r="C166" t="str">
            <v>10</v>
          </cell>
          <cell r="D166" t="str">
            <v>10</v>
          </cell>
          <cell r="E166" t="str">
            <v>100</v>
          </cell>
          <cell r="F166" t="str">
            <v>CIF</v>
          </cell>
          <cell r="G166" t="str">
            <v>Greater Noida</v>
          </cell>
          <cell r="H166">
            <v>0</v>
          </cell>
          <cell r="I166" t="str">
            <v>INR</v>
          </cell>
          <cell r="J166" t="str">
            <v/>
          </cell>
          <cell r="K166" t="str">
            <v>Z1</v>
          </cell>
          <cell r="L166" t="str">
            <v>0535</v>
          </cell>
        </row>
        <row r="167">
          <cell r="A167" t="str">
            <v>91717</v>
          </cell>
          <cell r="B167" t="str">
            <v>C199</v>
          </cell>
          <cell r="C167" t="str">
            <v>10</v>
          </cell>
          <cell r="D167" t="str">
            <v>10</v>
          </cell>
          <cell r="E167" t="str">
            <v>100</v>
          </cell>
          <cell r="F167" t="str">
            <v>CPT</v>
          </cell>
          <cell r="G167" t="str">
            <v>Ningbo</v>
          </cell>
          <cell r="H167">
            <v>0</v>
          </cell>
          <cell r="I167" t="str">
            <v>CNY</v>
          </cell>
          <cell r="J167" t="str">
            <v/>
          </cell>
          <cell r="K167" t="str">
            <v>Z1</v>
          </cell>
          <cell r="L167" t="str">
            <v>3480</v>
          </cell>
        </row>
        <row r="168">
          <cell r="A168" t="str">
            <v>92012</v>
          </cell>
          <cell r="B168" t="str">
            <v>C199</v>
          </cell>
          <cell r="C168" t="str">
            <v>10</v>
          </cell>
          <cell r="D168" t="str">
            <v>10</v>
          </cell>
          <cell r="E168" t="str">
            <v>100</v>
          </cell>
          <cell r="F168" t="str">
            <v>CPT</v>
          </cell>
          <cell r="G168" t="str">
            <v>Chongqing</v>
          </cell>
          <cell r="H168">
            <v>0</v>
          </cell>
          <cell r="I168" t="str">
            <v>CNY</v>
          </cell>
          <cell r="J168" t="str">
            <v/>
          </cell>
          <cell r="K168" t="str">
            <v>Z1</v>
          </cell>
          <cell r="L168" t="str">
            <v>0600</v>
          </cell>
        </row>
        <row r="169">
          <cell r="A169" t="str">
            <v>92129</v>
          </cell>
          <cell r="B169" t="str">
            <v>C199</v>
          </cell>
          <cell r="C169" t="str">
            <v>10</v>
          </cell>
          <cell r="D169" t="str">
            <v>10</v>
          </cell>
          <cell r="E169" t="str">
            <v>100</v>
          </cell>
          <cell r="F169" t="str">
            <v>CPT</v>
          </cell>
          <cell r="G169" t="str">
            <v>Wuhan</v>
          </cell>
          <cell r="H169">
            <v>0</v>
          </cell>
          <cell r="I169" t="str">
            <v>CNY</v>
          </cell>
          <cell r="J169" t="str">
            <v/>
          </cell>
          <cell r="K169" t="str">
            <v>Z1</v>
          </cell>
          <cell r="L169" t="str">
            <v>0580</v>
          </cell>
        </row>
        <row r="170">
          <cell r="A170" t="str">
            <v>92164</v>
          </cell>
          <cell r="B170" t="str">
            <v>C199</v>
          </cell>
          <cell r="C170" t="str">
            <v>10</v>
          </cell>
          <cell r="D170" t="str">
            <v>10</v>
          </cell>
          <cell r="E170" t="str">
            <v>100</v>
          </cell>
          <cell r="F170" t="str">
            <v>CPT</v>
          </cell>
          <cell r="G170" t="str">
            <v>Beijing</v>
          </cell>
          <cell r="H170">
            <v>0</v>
          </cell>
          <cell r="I170" t="str">
            <v>CNY</v>
          </cell>
          <cell r="J170" t="str">
            <v/>
          </cell>
          <cell r="K170" t="str">
            <v>Z1</v>
          </cell>
          <cell r="L170" t="str">
            <v>0540</v>
          </cell>
        </row>
        <row r="171">
          <cell r="A171" t="str">
            <v>92165</v>
          </cell>
          <cell r="B171" t="str">
            <v>C199</v>
          </cell>
          <cell r="C171" t="str">
            <v>10</v>
          </cell>
          <cell r="D171" t="str">
            <v>10</v>
          </cell>
          <cell r="E171" t="str">
            <v>100</v>
          </cell>
          <cell r="F171" t="str">
            <v>CPT</v>
          </cell>
          <cell r="G171" t="str">
            <v>Changzhou</v>
          </cell>
          <cell r="H171">
            <v>0</v>
          </cell>
          <cell r="I171" t="str">
            <v>CNY</v>
          </cell>
          <cell r="J171" t="str">
            <v/>
          </cell>
          <cell r="K171" t="str">
            <v>Z1</v>
          </cell>
          <cell r="L171" t="str">
            <v>0540</v>
          </cell>
        </row>
        <row r="172">
          <cell r="A172" t="str">
            <v>92197</v>
          </cell>
          <cell r="B172" t="str">
            <v>C074</v>
          </cell>
          <cell r="C172" t="str">
            <v>10</v>
          </cell>
          <cell r="D172" t="str">
            <v>10</v>
          </cell>
          <cell r="E172" t="str">
            <v>100</v>
          </cell>
          <cell r="F172" t="str">
            <v>DAP</v>
          </cell>
          <cell r="G172" t="str">
            <v>Ulsan</v>
          </cell>
          <cell r="H172">
            <v>0</v>
          </cell>
          <cell r="I172" t="str">
            <v>KRW</v>
          </cell>
          <cell r="J172" t="str">
            <v/>
          </cell>
          <cell r="K172" t="str">
            <v>Z1</v>
          </cell>
          <cell r="L172" t="str">
            <v>6600</v>
          </cell>
        </row>
        <row r="173">
          <cell r="A173" t="str">
            <v>93044</v>
          </cell>
          <cell r="B173" t="str">
            <v>C199</v>
          </cell>
          <cell r="C173" t="str">
            <v>10</v>
          </cell>
          <cell r="D173" t="str">
            <v>10</v>
          </cell>
          <cell r="E173" t="str">
            <v>100</v>
          </cell>
          <cell r="F173" t="str">
            <v>CPT</v>
          </cell>
          <cell r="G173" t="str">
            <v>Hangzhou</v>
          </cell>
          <cell r="H173">
            <v>0</v>
          </cell>
          <cell r="I173" t="str">
            <v>CNY</v>
          </cell>
          <cell r="J173" t="str">
            <v/>
          </cell>
          <cell r="K173" t="str">
            <v>Z1</v>
          </cell>
          <cell r="L173" t="str">
            <v>0540</v>
          </cell>
        </row>
        <row r="174">
          <cell r="A174" t="str">
            <v>93296</v>
          </cell>
          <cell r="B174" t="str">
            <v>C199</v>
          </cell>
          <cell r="C174" t="str">
            <v>10</v>
          </cell>
          <cell r="D174" t="str">
            <v>10</v>
          </cell>
          <cell r="E174" t="str">
            <v>100</v>
          </cell>
          <cell r="F174" t="str">
            <v>CPT</v>
          </cell>
          <cell r="G174" t="str">
            <v>Tianjin</v>
          </cell>
          <cell r="H174">
            <v>0</v>
          </cell>
          <cell r="I174" t="str">
            <v>CNY</v>
          </cell>
          <cell r="J174" t="str">
            <v/>
          </cell>
          <cell r="K174" t="str">
            <v>Z1</v>
          </cell>
          <cell r="L174" t="str">
            <v>0460</v>
          </cell>
        </row>
        <row r="175">
          <cell r="A175" t="str">
            <v>93457</v>
          </cell>
          <cell r="B175" t="str">
            <v>C074</v>
          </cell>
          <cell r="C175" t="str">
            <v>10</v>
          </cell>
          <cell r="D175" t="str">
            <v>10</v>
          </cell>
          <cell r="E175" t="str">
            <v>100</v>
          </cell>
          <cell r="F175" t="str">
            <v>DAP</v>
          </cell>
          <cell r="G175" t="str">
            <v>Pyeongtaek-Si</v>
          </cell>
          <cell r="H175">
            <v>0</v>
          </cell>
          <cell r="I175" t="str">
            <v>KRW</v>
          </cell>
          <cell r="J175" t="str">
            <v/>
          </cell>
          <cell r="K175" t="str">
            <v>Z1</v>
          </cell>
          <cell r="L175" t="str">
            <v>7723</v>
          </cell>
        </row>
        <row r="176">
          <cell r="A176" t="str">
            <v>93762</v>
          </cell>
          <cell r="B176" t="str">
            <v>C042</v>
          </cell>
          <cell r="C176" t="str">
            <v>10</v>
          </cell>
          <cell r="D176" t="str">
            <v>10</v>
          </cell>
          <cell r="E176" t="str">
            <v>100</v>
          </cell>
          <cell r="F176" t="str">
            <v>FCA</v>
          </cell>
          <cell r="G176" t="str">
            <v>Pune</v>
          </cell>
          <cell r="H176">
            <v>0</v>
          </cell>
          <cell r="I176" t="str">
            <v>INR</v>
          </cell>
          <cell r="J176" t="str">
            <v/>
          </cell>
          <cell r="K176" t="str">
            <v>Z1</v>
          </cell>
          <cell r="L176" t="str">
            <v>0460</v>
          </cell>
        </row>
        <row r="177">
          <cell r="A177" t="str">
            <v>93777</v>
          </cell>
          <cell r="B177" t="str">
            <v>C199</v>
          </cell>
          <cell r="C177" t="str">
            <v>10</v>
          </cell>
          <cell r="D177" t="str">
            <v>10</v>
          </cell>
          <cell r="E177" t="str">
            <v>100</v>
          </cell>
          <cell r="F177" t="str">
            <v>FCA</v>
          </cell>
          <cell r="G177" t="str">
            <v>Filderstadt</v>
          </cell>
          <cell r="H177">
            <v>0</v>
          </cell>
          <cell r="I177" t="str">
            <v>USD</v>
          </cell>
          <cell r="J177" t="str">
            <v/>
          </cell>
          <cell r="K177" t="str">
            <v>Z4</v>
          </cell>
          <cell r="L177" t="str">
            <v>0460</v>
          </cell>
        </row>
        <row r="178">
          <cell r="A178" t="str">
            <v>94327</v>
          </cell>
          <cell r="B178" t="str">
            <v>C199</v>
          </cell>
          <cell r="C178" t="str">
            <v>10</v>
          </cell>
          <cell r="D178" t="str">
            <v>10</v>
          </cell>
          <cell r="E178" t="str">
            <v>100</v>
          </cell>
          <cell r="F178" t="str">
            <v>CPT</v>
          </cell>
          <cell r="G178" t="str">
            <v>Changchun</v>
          </cell>
          <cell r="H178">
            <v>0</v>
          </cell>
          <cell r="I178" t="str">
            <v>CNY</v>
          </cell>
          <cell r="J178" t="str">
            <v/>
          </cell>
          <cell r="K178" t="str">
            <v>Z1</v>
          </cell>
          <cell r="L178" t="str">
            <v>ZJE6</v>
          </cell>
        </row>
        <row r="179">
          <cell r="A179" t="str">
            <v>94447</v>
          </cell>
          <cell r="B179" t="str">
            <v>C199</v>
          </cell>
          <cell r="C179" t="str">
            <v>10</v>
          </cell>
          <cell r="D179" t="str">
            <v>10</v>
          </cell>
          <cell r="E179" t="str">
            <v>100</v>
          </cell>
          <cell r="F179" t="str">
            <v>FCA</v>
          </cell>
          <cell r="G179" t="str">
            <v>KUN SHAN</v>
          </cell>
          <cell r="H179">
            <v>0</v>
          </cell>
          <cell r="I179" t="str">
            <v>CNY</v>
          </cell>
          <cell r="J179" t="str">
            <v/>
          </cell>
          <cell r="K179" t="str">
            <v>Z2</v>
          </cell>
          <cell r="L179" t="str">
            <v>0527</v>
          </cell>
        </row>
        <row r="180">
          <cell r="A180" t="str">
            <v>94506</v>
          </cell>
          <cell r="B180" t="str">
            <v>C042</v>
          </cell>
          <cell r="C180" t="str">
            <v>10</v>
          </cell>
          <cell r="D180" t="str">
            <v>10</v>
          </cell>
          <cell r="E180" t="str">
            <v>100</v>
          </cell>
          <cell r="F180" t="str">
            <v>FCA</v>
          </cell>
          <cell r="G180" t="str">
            <v>Chennai</v>
          </cell>
          <cell r="H180">
            <v>0</v>
          </cell>
          <cell r="I180" t="str">
            <v>INR</v>
          </cell>
          <cell r="J180" t="str">
            <v/>
          </cell>
          <cell r="K180" t="str">
            <v>Z1</v>
          </cell>
          <cell r="L180" t="str">
            <v>0460</v>
          </cell>
        </row>
        <row r="181">
          <cell r="A181" t="str">
            <v>94506</v>
          </cell>
          <cell r="B181" t="str">
            <v>C199</v>
          </cell>
          <cell r="C181" t="str">
            <v>10</v>
          </cell>
          <cell r="D181" t="str">
            <v>10</v>
          </cell>
          <cell r="E181" t="str">
            <v>100</v>
          </cell>
          <cell r="F181" t="str">
            <v>FCA</v>
          </cell>
          <cell r="G181" t="str">
            <v>Filderstadt</v>
          </cell>
          <cell r="H181">
            <v>0</v>
          </cell>
          <cell r="I181" t="str">
            <v>USD</v>
          </cell>
          <cell r="J181" t="str">
            <v/>
          </cell>
          <cell r="K181" t="str">
            <v>Z4</v>
          </cell>
          <cell r="L181" t="str">
            <v>0460</v>
          </cell>
        </row>
        <row r="182">
          <cell r="A182" t="str">
            <v>94509</v>
          </cell>
          <cell r="B182" t="str">
            <v>C042</v>
          </cell>
          <cell r="C182" t="str">
            <v>10</v>
          </cell>
          <cell r="D182" t="str">
            <v>10</v>
          </cell>
          <cell r="E182" t="str">
            <v>100</v>
          </cell>
          <cell r="F182" t="str">
            <v>FCA</v>
          </cell>
          <cell r="G182" t="str">
            <v>Gurugram</v>
          </cell>
          <cell r="H182">
            <v>0</v>
          </cell>
          <cell r="I182" t="str">
            <v>INR</v>
          </cell>
          <cell r="J182" t="str">
            <v/>
          </cell>
          <cell r="K182" t="str">
            <v>Z1</v>
          </cell>
          <cell r="L182" t="str">
            <v>0460</v>
          </cell>
        </row>
        <row r="183">
          <cell r="A183" t="str">
            <v>94592</v>
          </cell>
          <cell r="B183" t="str">
            <v>C042</v>
          </cell>
          <cell r="C183" t="str">
            <v>10</v>
          </cell>
          <cell r="D183" t="str">
            <v>10</v>
          </cell>
          <cell r="E183" t="str">
            <v>100</v>
          </cell>
          <cell r="F183" t="str">
            <v>CIP</v>
          </cell>
          <cell r="G183" t="str">
            <v>Gajraula (U.P.)</v>
          </cell>
          <cell r="H183">
            <v>0</v>
          </cell>
          <cell r="I183" t="str">
            <v>INR</v>
          </cell>
          <cell r="J183" t="str">
            <v/>
          </cell>
          <cell r="K183" t="str">
            <v>Z1</v>
          </cell>
          <cell r="L183" t="str">
            <v>0520</v>
          </cell>
        </row>
        <row r="184">
          <cell r="A184" t="str">
            <v>95100</v>
          </cell>
          <cell r="B184" t="str">
            <v>C199</v>
          </cell>
          <cell r="C184" t="str">
            <v>10</v>
          </cell>
          <cell r="D184" t="str">
            <v>10</v>
          </cell>
          <cell r="E184" t="str">
            <v>100</v>
          </cell>
          <cell r="F184" t="str">
            <v>CPT</v>
          </cell>
          <cell r="G184" t="str">
            <v>Hefei</v>
          </cell>
          <cell r="H184">
            <v>0</v>
          </cell>
          <cell r="I184" t="str">
            <v>CNY</v>
          </cell>
          <cell r="J184" t="str">
            <v/>
          </cell>
          <cell r="K184" t="str">
            <v>Z1</v>
          </cell>
          <cell r="L184" t="str">
            <v>3600</v>
          </cell>
        </row>
        <row r="185">
          <cell r="A185" t="str">
            <v>96353</v>
          </cell>
          <cell r="B185" t="str">
            <v>C042</v>
          </cell>
          <cell r="C185" t="str">
            <v>10</v>
          </cell>
          <cell r="D185" t="str">
            <v>10</v>
          </cell>
          <cell r="E185" t="str">
            <v>100</v>
          </cell>
          <cell r="F185" t="str">
            <v>FCA</v>
          </cell>
          <cell r="G185" t="str">
            <v>Pune</v>
          </cell>
          <cell r="H185">
            <v>0</v>
          </cell>
          <cell r="I185" t="str">
            <v>INR</v>
          </cell>
          <cell r="J185" t="str">
            <v/>
          </cell>
          <cell r="K185" t="str">
            <v>Z1</v>
          </cell>
          <cell r="L185" t="str">
            <v>0460</v>
          </cell>
        </row>
        <row r="186">
          <cell r="A186" t="str">
            <v>96353</v>
          </cell>
          <cell r="B186" t="str">
            <v>C199</v>
          </cell>
          <cell r="C186" t="str">
            <v>10</v>
          </cell>
          <cell r="D186" t="str">
            <v>10</v>
          </cell>
          <cell r="E186" t="str">
            <v>100</v>
          </cell>
          <cell r="F186" t="str">
            <v>FCA</v>
          </cell>
          <cell r="G186" t="str">
            <v/>
          </cell>
          <cell r="H186">
            <v>0</v>
          </cell>
          <cell r="I186" t="str">
            <v>USD</v>
          </cell>
          <cell r="J186" t="str">
            <v/>
          </cell>
          <cell r="K186" t="str">
            <v>Z4</v>
          </cell>
          <cell r="L186" t="str">
            <v>0460</v>
          </cell>
        </row>
        <row r="187">
          <cell r="A187" t="str">
            <v>96439</v>
          </cell>
          <cell r="B187" t="str">
            <v>C199</v>
          </cell>
          <cell r="C187" t="str">
            <v>10</v>
          </cell>
          <cell r="D187" t="str">
            <v>10</v>
          </cell>
          <cell r="E187" t="str">
            <v>100</v>
          </cell>
          <cell r="F187" t="str">
            <v>CPT</v>
          </cell>
          <cell r="G187" t="str">
            <v>Yantai</v>
          </cell>
          <cell r="H187">
            <v>0</v>
          </cell>
          <cell r="I187" t="str">
            <v>CNY</v>
          </cell>
          <cell r="J187" t="str">
            <v/>
          </cell>
          <cell r="K187" t="str">
            <v>Z1</v>
          </cell>
          <cell r="L187" t="str">
            <v>0520</v>
          </cell>
        </row>
        <row r="188">
          <cell r="A188" t="str">
            <v>96621</v>
          </cell>
          <cell r="B188" t="str">
            <v>C199</v>
          </cell>
          <cell r="C188" t="str">
            <v>10</v>
          </cell>
          <cell r="D188" t="str">
            <v>10</v>
          </cell>
          <cell r="E188" t="str">
            <v>100</v>
          </cell>
          <cell r="F188" t="str">
            <v>CPT</v>
          </cell>
          <cell r="G188" t="str">
            <v>Ningbo</v>
          </cell>
          <cell r="H188">
            <v>0</v>
          </cell>
          <cell r="I188" t="str">
            <v>CNY</v>
          </cell>
          <cell r="J188" t="str">
            <v/>
          </cell>
          <cell r="K188" t="str">
            <v>Z1</v>
          </cell>
          <cell r="L188" t="str">
            <v>6140</v>
          </cell>
        </row>
        <row r="189">
          <cell r="A189" t="str">
            <v>97570</v>
          </cell>
          <cell r="B189" t="str">
            <v>C042</v>
          </cell>
          <cell r="C189" t="str">
            <v>10</v>
          </cell>
          <cell r="D189" t="str">
            <v>10</v>
          </cell>
          <cell r="E189" t="str">
            <v>100</v>
          </cell>
          <cell r="F189" t="str">
            <v>DAP</v>
          </cell>
          <cell r="G189" t="str">
            <v>Anantapur, AP</v>
          </cell>
          <cell r="H189">
            <v>0</v>
          </cell>
          <cell r="I189" t="str">
            <v>INR</v>
          </cell>
          <cell r="J189" t="str">
            <v/>
          </cell>
          <cell r="K189" t="str">
            <v>Z1</v>
          </cell>
          <cell r="L189" t="str">
            <v>0460</v>
          </cell>
        </row>
        <row r="190">
          <cell r="A190" t="str">
            <v>98000</v>
          </cell>
          <cell r="B190" t="str">
            <v>C199</v>
          </cell>
          <cell r="C190" t="str">
            <v>10</v>
          </cell>
          <cell r="D190" t="str">
            <v>10</v>
          </cell>
          <cell r="E190" t="str">
            <v>100</v>
          </cell>
          <cell r="F190" t="str">
            <v>FCA</v>
          </cell>
          <cell r="G190" t="str">
            <v>Filderstadt</v>
          </cell>
          <cell r="H190">
            <v>0</v>
          </cell>
          <cell r="I190" t="str">
            <v>CNY</v>
          </cell>
          <cell r="J190" t="str">
            <v/>
          </cell>
          <cell r="K190" t="str">
            <v>Z4</v>
          </cell>
          <cell r="L190" t="str">
            <v>0580</v>
          </cell>
        </row>
        <row r="191">
          <cell r="A191" t="str">
            <v>98227</v>
          </cell>
          <cell r="B191" t="str">
            <v>C199</v>
          </cell>
          <cell r="C191" t="str">
            <v>10</v>
          </cell>
          <cell r="D191" t="str">
            <v>10</v>
          </cell>
          <cell r="E191" t="str">
            <v>100</v>
          </cell>
          <cell r="F191" t="str">
            <v>DDP</v>
          </cell>
          <cell r="G191" t="str">
            <v>Yiwu</v>
          </cell>
          <cell r="H191">
            <v>0</v>
          </cell>
          <cell r="I191" t="str">
            <v>CNY</v>
          </cell>
          <cell r="J191" t="str">
            <v/>
          </cell>
          <cell r="K191" t="str">
            <v>Z1</v>
          </cell>
          <cell r="L191" t="str">
            <v>3600</v>
          </cell>
        </row>
        <row r="192">
          <cell r="A192" t="str">
            <v>98613</v>
          </cell>
          <cell r="B192" t="str">
            <v>C199</v>
          </cell>
          <cell r="C192" t="str">
            <v>10</v>
          </cell>
          <cell r="D192" t="str">
            <v>10</v>
          </cell>
          <cell r="E192" t="str">
            <v>100</v>
          </cell>
          <cell r="F192" t="str">
            <v>CPT</v>
          </cell>
          <cell r="G192" t="str">
            <v>Chongqing</v>
          </cell>
          <cell r="H192">
            <v>0</v>
          </cell>
          <cell r="I192" t="str">
            <v>CNY</v>
          </cell>
          <cell r="J192" t="str">
            <v/>
          </cell>
          <cell r="K192" t="str">
            <v>Z1</v>
          </cell>
          <cell r="L192" t="str">
            <v>0201</v>
          </cell>
        </row>
        <row r="193">
          <cell r="A193" t="str">
            <v>98803</v>
          </cell>
          <cell r="B193" t="str">
            <v>C074</v>
          </cell>
          <cell r="C193" t="str">
            <v>10</v>
          </cell>
          <cell r="D193" t="str">
            <v>10</v>
          </cell>
          <cell r="E193" t="str">
            <v>100</v>
          </cell>
          <cell r="F193" t="str">
            <v>DAP</v>
          </cell>
          <cell r="G193" t="str">
            <v>Ulsan</v>
          </cell>
          <cell r="H193">
            <v>0</v>
          </cell>
          <cell r="I193" t="str">
            <v>KRW</v>
          </cell>
          <cell r="J193" t="str">
            <v/>
          </cell>
          <cell r="K193" t="str">
            <v>Z1</v>
          </cell>
          <cell r="L193" t="str">
            <v>7705</v>
          </cell>
        </row>
        <row r="194">
          <cell r="A194" t="str">
            <v>99073</v>
          </cell>
          <cell r="B194" t="str">
            <v>C199</v>
          </cell>
          <cell r="C194" t="str">
            <v>10</v>
          </cell>
          <cell r="D194" t="str">
            <v>10</v>
          </cell>
          <cell r="E194" t="str">
            <v>100</v>
          </cell>
          <cell r="F194" t="str">
            <v>DDP</v>
          </cell>
          <cell r="G194" t="str">
            <v>Wuhu</v>
          </cell>
          <cell r="H194">
            <v>0</v>
          </cell>
          <cell r="I194" t="str">
            <v>CNY</v>
          </cell>
          <cell r="J194" t="str">
            <v/>
          </cell>
          <cell r="K194" t="str">
            <v>Z1</v>
          </cell>
          <cell r="L194" t="str">
            <v>0460</v>
          </cell>
        </row>
        <row r="195">
          <cell r="A195" t="str">
            <v>99813</v>
          </cell>
          <cell r="B195" t="str">
            <v>C199</v>
          </cell>
          <cell r="C195" t="str">
            <v>10</v>
          </cell>
          <cell r="D195" t="str">
            <v>10</v>
          </cell>
          <cell r="E195" t="str">
            <v>100</v>
          </cell>
          <cell r="F195" t="str">
            <v>DDP</v>
          </cell>
          <cell r="G195" t="str">
            <v>Zhenjiang</v>
          </cell>
          <cell r="H195">
            <v>0</v>
          </cell>
          <cell r="I195" t="str">
            <v>CNY</v>
          </cell>
          <cell r="J195" t="str">
            <v/>
          </cell>
          <cell r="K195" t="str">
            <v>Z1</v>
          </cell>
          <cell r="L195" t="str">
            <v>3700</v>
          </cell>
        </row>
        <row r="196">
          <cell r="A196" t="str">
            <v>100166</v>
          </cell>
          <cell r="B196" t="str">
            <v>C042</v>
          </cell>
          <cell r="C196" t="str">
            <v>10</v>
          </cell>
          <cell r="D196" t="str">
            <v>10</v>
          </cell>
          <cell r="E196" t="str">
            <v>100</v>
          </cell>
          <cell r="F196" t="str">
            <v>CIF</v>
          </cell>
          <cell r="G196" t="str">
            <v>Avtec -Housr</v>
          </cell>
          <cell r="H196">
            <v>0</v>
          </cell>
          <cell r="I196" t="str">
            <v>INR</v>
          </cell>
          <cell r="J196" t="str">
            <v/>
          </cell>
          <cell r="K196" t="str">
            <v>Z1</v>
          </cell>
          <cell r="L196" t="str">
            <v>0540</v>
          </cell>
        </row>
        <row r="197">
          <cell r="A197" t="str">
            <v>100167</v>
          </cell>
          <cell r="B197" t="str">
            <v>C042</v>
          </cell>
          <cell r="C197" t="str">
            <v>10</v>
          </cell>
          <cell r="D197" t="str">
            <v>10</v>
          </cell>
          <cell r="E197" t="str">
            <v>100</v>
          </cell>
          <cell r="F197" t="str">
            <v>CIF</v>
          </cell>
          <cell r="G197" t="str">
            <v>Hansalpur</v>
          </cell>
          <cell r="H197">
            <v>0</v>
          </cell>
          <cell r="I197" t="str">
            <v>INR</v>
          </cell>
          <cell r="J197" t="str">
            <v/>
          </cell>
          <cell r="K197" t="str">
            <v>Z1</v>
          </cell>
          <cell r="L197" t="str">
            <v>0460</v>
          </cell>
        </row>
        <row r="198">
          <cell r="A198" t="str">
            <v>100281</v>
          </cell>
          <cell r="B198" t="str">
            <v>C199</v>
          </cell>
          <cell r="C198" t="str">
            <v>10</v>
          </cell>
          <cell r="D198" t="str">
            <v>10</v>
          </cell>
          <cell r="E198" t="str">
            <v>100</v>
          </cell>
          <cell r="F198" t="str">
            <v>CPT</v>
          </cell>
          <cell r="G198" t="str">
            <v>Shaoxing</v>
          </cell>
          <cell r="H198">
            <v>0</v>
          </cell>
          <cell r="I198" t="str">
            <v>CNY</v>
          </cell>
          <cell r="J198" t="str">
            <v/>
          </cell>
          <cell r="K198" t="str">
            <v>01</v>
          </cell>
          <cell r="L198" t="str">
            <v>3720</v>
          </cell>
        </row>
        <row r="199">
          <cell r="A199" t="str">
            <v>100504</v>
          </cell>
          <cell r="B199" t="str">
            <v>C042</v>
          </cell>
          <cell r="C199" t="str">
            <v>10</v>
          </cell>
          <cell r="D199" t="str">
            <v>10</v>
          </cell>
          <cell r="E199" t="str">
            <v>100</v>
          </cell>
          <cell r="F199" t="str">
            <v>EXW</v>
          </cell>
          <cell r="G199" t="str">
            <v>Pune</v>
          </cell>
          <cell r="H199">
            <v>0</v>
          </cell>
          <cell r="I199" t="str">
            <v>EUR</v>
          </cell>
          <cell r="J199" t="str">
            <v/>
          </cell>
          <cell r="K199" t="str">
            <v>Z2</v>
          </cell>
          <cell r="L199" t="str">
            <v>6100</v>
          </cell>
        </row>
        <row r="200">
          <cell r="A200" t="str">
            <v>101122</v>
          </cell>
          <cell r="B200" t="str">
            <v>C199</v>
          </cell>
          <cell r="C200" t="str">
            <v>10</v>
          </cell>
          <cell r="D200" t="str">
            <v>10</v>
          </cell>
          <cell r="E200" t="str">
            <v>100</v>
          </cell>
          <cell r="F200" t="str">
            <v>EXW</v>
          </cell>
          <cell r="G200" t="str">
            <v>Filderstadt</v>
          </cell>
          <cell r="H200">
            <v>0</v>
          </cell>
          <cell r="I200" t="str">
            <v>CNY</v>
          </cell>
          <cell r="J200" t="str">
            <v/>
          </cell>
          <cell r="K200" t="str">
            <v>Z1</v>
          </cell>
          <cell r="L200" t="str">
            <v>3480</v>
          </cell>
        </row>
        <row r="201">
          <cell r="A201" t="str">
            <v>102143</v>
          </cell>
          <cell r="B201" t="str">
            <v>C199</v>
          </cell>
          <cell r="C201" t="str">
            <v>10</v>
          </cell>
          <cell r="D201" t="str">
            <v>10</v>
          </cell>
          <cell r="E201" t="str">
            <v>100</v>
          </cell>
          <cell r="F201" t="str">
            <v/>
          </cell>
          <cell r="G201" t="str">
            <v/>
          </cell>
          <cell r="H201">
            <v>0</v>
          </cell>
          <cell r="I201" t="str">
            <v>CNY</v>
          </cell>
          <cell r="J201" t="str">
            <v/>
          </cell>
          <cell r="K201" t="str">
            <v/>
          </cell>
          <cell r="L201" t="str">
            <v/>
          </cell>
        </row>
        <row r="202">
          <cell r="A202" t="str">
            <v>102288</v>
          </cell>
          <cell r="B202" t="str">
            <v>C199</v>
          </cell>
          <cell r="C202" t="str">
            <v>10</v>
          </cell>
          <cell r="D202" t="str">
            <v>10</v>
          </cell>
          <cell r="E202" t="str">
            <v>100</v>
          </cell>
          <cell r="F202" t="str">
            <v>DAP</v>
          </cell>
          <cell r="G202" t="str">
            <v>Shanghai</v>
          </cell>
          <cell r="H202">
            <v>0</v>
          </cell>
          <cell r="I202" t="str">
            <v>CNY</v>
          </cell>
          <cell r="J202" t="str">
            <v/>
          </cell>
          <cell r="K202" t="str">
            <v>Z1</v>
          </cell>
          <cell r="L202" t="str">
            <v>0540</v>
          </cell>
        </row>
        <row r="203">
          <cell r="A203" t="str">
            <v>102378</v>
          </cell>
          <cell r="B203" t="str">
            <v>C042</v>
          </cell>
          <cell r="C203" t="str">
            <v>10</v>
          </cell>
          <cell r="D203" t="str">
            <v>10</v>
          </cell>
          <cell r="E203" t="str">
            <v>100</v>
          </cell>
          <cell r="F203" t="str">
            <v>CIP</v>
          </cell>
          <cell r="G203" t="str">
            <v>Chakan</v>
          </cell>
          <cell r="H203">
            <v>0</v>
          </cell>
          <cell r="I203" t="str">
            <v>INR</v>
          </cell>
          <cell r="J203" t="str">
            <v/>
          </cell>
          <cell r="K203" t="str">
            <v>Z1</v>
          </cell>
          <cell r="L203" t="str">
            <v>7604</v>
          </cell>
        </row>
        <row r="204">
          <cell r="A204" t="str">
            <v>102501</v>
          </cell>
          <cell r="B204" t="str">
            <v>C199</v>
          </cell>
          <cell r="C204" t="str">
            <v>10</v>
          </cell>
          <cell r="D204" t="str">
            <v>10</v>
          </cell>
          <cell r="E204" t="str">
            <v>100</v>
          </cell>
          <cell r="F204" t="str">
            <v>EXW</v>
          </cell>
          <cell r="G204" t="str">
            <v>KUN SHAN</v>
          </cell>
          <cell r="H204">
            <v>0</v>
          </cell>
          <cell r="I204" t="str">
            <v>CNY</v>
          </cell>
          <cell r="J204" t="str">
            <v/>
          </cell>
          <cell r="K204" t="str">
            <v>Z1</v>
          </cell>
          <cell r="L204" t="str">
            <v>3480</v>
          </cell>
        </row>
        <row r="205">
          <cell r="A205" t="str">
            <v>102562</v>
          </cell>
          <cell r="B205" t="str">
            <v>C199</v>
          </cell>
          <cell r="C205" t="str">
            <v>10</v>
          </cell>
          <cell r="D205" t="str">
            <v>10</v>
          </cell>
          <cell r="E205" t="str">
            <v>100</v>
          </cell>
          <cell r="F205" t="str">
            <v>CPT</v>
          </cell>
          <cell r="G205" t="str">
            <v>Liuzhou</v>
          </cell>
          <cell r="H205">
            <v>0</v>
          </cell>
          <cell r="I205" t="str">
            <v>CNY</v>
          </cell>
          <cell r="J205" t="str">
            <v/>
          </cell>
          <cell r="K205" t="str">
            <v>Z1</v>
          </cell>
          <cell r="L205" t="str">
            <v>0540</v>
          </cell>
        </row>
        <row r="206">
          <cell r="A206" t="str">
            <v>102586</v>
          </cell>
          <cell r="B206" t="str">
            <v>C199</v>
          </cell>
          <cell r="C206" t="str">
            <v>10</v>
          </cell>
          <cell r="D206" t="str">
            <v>10</v>
          </cell>
          <cell r="E206" t="str">
            <v>100</v>
          </cell>
          <cell r="F206" t="str">
            <v>CPT</v>
          </cell>
          <cell r="G206" t="str">
            <v>Ningbo</v>
          </cell>
          <cell r="H206">
            <v>0</v>
          </cell>
          <cell r="I206" t="str">
            <v>CNY</v>
          </cell>
          <cell r="J206" t="str">
            <v/>
          </cell>
          <cell r="K206" t="str">
            <v>Z1</v>
          </cell>
          <cell r="L206" t="str">
            <v>3480</v>
          </cell>
        </row>
        <row r="207">
          <cell r="A207" t="str">
            <v>102716</v>
          </cell>
          <cell r="B207" t="str">
            <v>C042</v>
          </cell>
          <cell r="C207" t="str">
            <v>10</v>
          </cell>
          <cell r="D207" t="str">
            <v>10</v>
          </cell>
          <cell r="E207" t="str">
            <v>100</v>
          </cell>
          <cell r="F207" t="str">
            <v>CIF</v>
          </cell>
          <cell r="G207" t="str">
            <v>Bangalore</v>
          </cell>
          <cell r="H207">
            <v>0</v>
          </cell>
          <cell r="I207" t="str">
            <v>INR</v>
          </cell>
          <cell r="J207" t="str">
            <v/>
          </cell>
          <cell r="K207" t="str">
            <v>Z1</v>
          </cell>
          <cell r="L207" t="str">
            <v>7604</v>
          </cell>
        </row>
        <row r="208">
          <cell r="A208" t="str">
            <v>103052</v>
          </cell>
          <cell r="B208" t="str">
            <v>C042</v>
          </cell>
          <cell r="C208" t="str">
            <v>10</v>
          </cell>
          <cell r="D208" t="str">
            <v>10</v>
          </cell>
          <cell r="E208" t="str">
            <v>100</v>
          </cell>
          <cell r="F208" t="str">
            <v>EXW</v>
          </cell>
          <cell r="G208" t="str">
            <v/>
          </cell>
          <cell r="H208">
            <v>0</v>
          </cell>
          <cell r="I208" t="str">
            <v>EUR</v>
          </cell>
          <cell r="J208" t="str">
            <v/>
          </cell>
          <cell r="K208" t="str">
            <v>Z3</v>
          </cell>
          <cell r="L208" t="str">
            <v>ZI03</v>
          </cell>
        </row>
        <row r="209">
          <cell r="A209" t="str">
            <v>103052</v>
          </cell>
          <cell r="B209" t="str">
            <v>C074</v>
          </cell>
          <cell r="C209" t="str">
            <v>10</v>
          </cell>
          <cell r="D209" t="str">
            <v>10</v>
          </cell>
          <cell r="E209" t="str">
            <v>100</v>
          </cell>
          <cell r="F209" t="str">
            <v>FCA</v>
          </cell>
          <cell r="G209" t="str">
            <v>.</v>
          </cell>
          <cell r="H209">
            <v>0</v>
          </cell>
          <cell r="I209" t="str">
            <v>USD</v>
          </cell>
          <cell r="J209" t="str">
            <v/>
          </cell>
          <cell r="K209" t="str">
            <v>Z3</v>
          </cell>
          <cell r="L209" t="str">
            <v>ZI03</v>
          </cell>
        </row>
        <row r="210">
          <cell r="A210" t="str">
            <v>103052</v>
          </cell>
          <cell r="B210" t="str">
            <v>C199</v>
          </cell>
          <cell r="C210" t="str">
            <v>10</v>
          </cell>
          <cell r="D210" t="str">
            <v>10</v>
          </cell>
          <cell r="E210" t="str">
            <v>100</v>
          </cell>
          <cell r="F210" t="str">
            <v>FCA</v>
          </cell>
          <cell r="G210" t="str">
            <v>.</v>
          </cell>
          <cell r="H210">
            <v>0</v>
          </cell>
          <cell r="I210" t="str">
            <v>CNY</v>
          </cell>
          <cell r="J210" t="str">
            <v/>
          </cell>
          <cell r="K210" t="str">
            <v>Z3</v>
          </cell>
          <cell r="L210" t="str">
            <v>0460</v>
          </cell>
        </row>
        <row r="211">
          <cell r="A211" t="str">
            <v>103053</v>
          </cell>
          <cell r="B211" t="str">
            <v>C042</v>
          </cell>
          <cell r="C211" t="str">
            <v>10</v>
          </cell>
          <cell r="D211" t="str">
            <v>10</v>
          </cell>
          <cell r="E211" t="str">
            <v>100</v>
          </cell>
          <cell r="F211" t="str">
            <v>EXW</v>
          </cell>
          <cell r="G211" t="str">
            <v>Pune</v>
          </cell>
          <cell r="H211">
            <v>0</v>
          </cell>
          <cell r="I211" t="str">
            <v>USD</v>
          </cell>
          <cell r="J211" t="str">
            <v/>
          </cell>
          <cell r="K211" t="str">
            <v>Z3</v>
          </cell>
          <cell r="L211" t="str">
            <v>ZI03</v>
          </cell>
        </row>
        <row r="212">
          <cell r="A212" t="str">
            <v>103053</v>
          </cell>
          <cell r="B212" t="str">
            <v>C074</v>
          </cell>
          <cell r="C212" t="str">
            <v>10</v>
          </cell>
          <cell r="D212" t="str">
            <v>10</v>
          </cell>
          <cell r="E212" t="str">
            <v>100</v>
          </cell>
          <cell r="F212" t="str">
            <v>DAP</v>
          </cell>
          <cell r="G212" t="str">
            <v>.</v>
          </cell>
          <cell r="H212">
            <v>0</v>
          </cell>
          <cell r="I212" t="str">
            <v>KRW</v>
          </cell>
          <cell r="J212" t="str">
            <v/>
          </cell>
          <cell r="K212" t="str">
            <v>Z3</v>
          </cell>
          <cell r="L212" t="str">
            <v>0600</v>
          </cell>
        </row>
        <row r="213">
          <cell r="A213" t="str">
            <v>103053</v>
          </cell>
          <cell r="B213" t="str">
            <v>C199</v>
          </cell>
          <cell r="C213" t="str">
            <v>10</v>
          </cell>
          <cell r="D213" t="str">
            <v>10</v>
          </cell>
          <cell r="E213" t="str">
            <v>100</v>
          </cell>
          <cell r="F213" t="str">
            <v>FCA</v>
          </cell>
          <cell r="G213" t="str">
            <v>QING DAO</v>
          </cell>
          <cell r="H213">
            <v>0</v>
          </cell>
          <cell r="I213" t="str">
            <v>USD</v>
          </cell>
          <cell r="J213" t="str">
            <v/>
          </cell>
          <cell r="K213" t="str">
            <v>Z3</v>
          </cell>
          <cell r="L213" t="str">
            <v>ZI01</v>
          </cell>
        </row>
        <row r="214">
          <cell r="A214" t="str">
            <v>103054</v>
          </cell>
          <cell r="B214" t="str">
            <v>C042</v>
          </cell>
          <cell r="C214" t="str">
            <v>10</v>
          </cell>
          <cell r="D214" t="str">
            <v>10</v>
          </cell>
          <cell r="E214" t="str">
            <v>100</v>
          </cell>
          <cell r="F214" t="str">
            <v>EXW</v>
          </cell>
          <cell r="G214" t="str">
            <v>pune</v>
          </cell>
          <cell r="H214">
            <v>0</v>
          </cell>
          <cell r="I214" t="str">
            <v>USD</v>
          </cell>
          <cell r="J214" t="str">
            <v/>
          </cell>
          <cell r="K214" t="str">
            <v>Z3</v>
          </cell>
          <cell r="L214" t="str">
            <v>ZI02</v>
          </cell>
        </row>
        <row r="215">
          <cell r="A215" t="str">
            <v>103054</v>
          </cell>
          <cell r="B215" t="str">
            <v>C074</v>
          </cell>
          <cell r="C215" t="str">
            <v>10</v>
          </cell>
          <cell r="D215" t="str">
            <v>10</v>
          </cell>
          <cell r="E215" t="str">
            <v>100</v>
          </cell>
          <cell r="F215" t="str">
            <v/>
          </cell>
          <cell r="G215" t="str">
            <v/>
          </cell>
          <cell r="H215">
            <v>0</v>
          </cell>
          <cell r="I215" t="str">
            <v>KRW</v>
          </cell>
          <cell r="J215" t="str">
            <v/>
          </cell>
          <cell r="K215" t="str">
            <v>Z3</v>
          </cell>
          <cell r="L215" t="str">
            <v/>
          </cell>
        </row>
        <row r="216">
          <cell r="A216" t="str">
            <v>103054</v>
          </cell>
          <cell r="B216" t="str">
            <v>C199</v>
          </cell>
          <cell r="C216" t="str">
            <v>10</v>
          </cell>
          <cell r="D216" t="str">
            <v>10</v>
          </cell>
          <cell r="E216" t="str">
            <v>100</v>
          </cell>
          <cell r="F216" t="str">
            <v>FCA</v>
          </cell>
          <cell r="G216" t="str">
            <v>Filderstadt</v>
          </cell>
          <cell r="H216">
            <v>0</v>
          </cell>
          <cell r="I216" t="str">
            <v>EUR</v>
          </cell>
          <cell r="J216" t="str">
            <v/>
          </cell>
          <cell r="K216" t="str">
            <v>Z3</v>
          </cell>
          <cell r="L216" t="str">
            <v>ZI01</v>
          </cell>
        </row>
        <row r="217">
          <cell r="A217" t="str">
            <v>103055</v>
          </cell>
          <cell r="B217" t="str">
            <v>C199</v>
          </cell>
          <cell r="C217" t="str">
            <v>10</v>
          </cell>
          <cell r="D217" t="str">
            <v>10</v>
          </cell>
          <cell r="E217" t="str">
            <v>100</v>
          </cell>
          <cell r="F217" t="str">
            <v>FCA</v>
          </cell>
          <cell r="G217" t="str">
            <v>SHANGHAI</v>
          </cell>
          <cell r="H217">
            <v>0</v>
          </cell>
          <cell r="I217" t="str">
            <v>USD</v>
          </cell>
          <cell r="J217" t="str">
            <v/>
          </cell>
          <cell r="K217" t="str">
            <v>Z3</v>
          </cell>
          <cell r="L217" t="str">
            <v>0201</v>
          </cell>
        </row>
        <row r="218">
          <cell r="A218" t="str">
            <v>103056</v>
          </cell>
          <cell r="B218" t="str">
            <v>C042</v>
          </cell>
          <cell r="C218" t="str">
            <v>10</v>
          </cell>
          <cell r="D218" t="str">
            <v>10</v>
          </cell>
          <cell r="E218" t="str">
            <v>100</v>
          </cell>
          <cell r="F218" t="str">
            <v>EXW</v>
          </cell>
          <cell r="G218" t="str">
            <v>Pune</v>
          </cell>
          <cell r="H218">
            <v>0</v>
          </cell>
          <cell r="I218" t="str">
            <v>INR</v>
          </cell>
          <cell r="J218" t="str">
            <v/>
          </cell>
          <cell r="K218" t="str">
            <v>Z5</v>
          </cell>
          <cell r="L218" t="str">
            <v>0201</v>
          </cell>
        </row>
        <row r="219">
          <cell r="A219" t="str">
            <v>103056</v>
          </cell>
          <cell r="B219" t="str">
            <v>C074</v>
          </cell>
          <cell r="C219" t="str">
            <v>10</v>
          </cell>
          <cell r="D219" t="str">
            <v>10</v>
          </cell>
          <cell r="E219" t="str">
            <v>100</v>
          </cell>
          <cell r="F219" t="str">
            <v/>
          </cell>
          <cell r="G219" t="str">
            <v/>
          </cell>
          <cell r="H219">
            <v>0</v>
          </cell>
          <cell r="I219" t="str">
            <v>KRW</v>
          </cell>
          <cell r="J219" t="str">
            <v/>
          </cell>
          <cell r="K219" t="str">
            <v>Z3</v>
          </cell>
          <cell r="L219" t="str">
            <v/>
          </cell>
        </row>
        <row r="220">
          <cell r="A220" t="str">
            <v>103056</v>
          </cell>
          <cell r="B220" t="str">
            <v>C199</v>
          </cell>
          <cell r="C220" t="str">
            <v>10</v>
          </cell>
          <cell r="D220" t="str">
            <v>10</v>
          </cell>
          <cell r="E220" t="str">
            <v>100</v>
          </cell>
          <cell r="F220" t="str">
            <v>FCA</v>
          </cell>
          <cell r="G220" t="str">
            <v>SHANGHAI</v>
          </cell>
          <cell r="H220">
            <v>0</v>
          </cell>
          <cell r="I220" t="str">
            <v>EUR</v>
          </cell>
          <cell r="J220" t="str">
            <v/>
          </cell>
          <cell r="K220" t="str">
            <v>Z3</v>
          </cell>
          <cell r="L220" t="str">
            <v>ZI01</v>
          </cell>
        </row>
        <row r="221">
          <cell r="A221" t="str">
            <v>103057</v>
          </cell>
          <cell r="B221" t="str">
            <v>C199</v>
          </cell>
          <cell r="C221" t="str">
            <v>10</v>
          </cell>
          <cell r="D221" t="str">
            <v>10</v>
          </cell>
          <cell r="E221" t="str">
            <v>100</v>
          </cell>
          <cell r="F221" t="str">
            <v/>
          </cell>
          <cell r="G221" t="str">
            <v/>
          </cell>
          <cell r="H221">
            <v>0</v>
          </cell>
          <cell r="I221" t="str">
            <v>CNY</v>
          </cell>
          <cell r="J221" t="str">
            <v/>
          </cell>
          <cell r="K221" t="str">
            <v/>
          </cell>
          <cell r="L221" t="str">
            <v/>
          </cell>
        </row>
        <row r="222">
          <cell r="A222" t="str">
            <v>103070</v>
          </cell>
          <cell r="B222" t="str">
            <v>C042</v>
          </cell>
          <cell r="C222" t="str">
            <v>10</v>
          </cell>
          <cell r="D222" t="str">
            <v>10</v>
          </cell>
          <cell r="E222" t="str">
            <v>100</v>
          </cell>
          <cell r="F222" t="str">
            <v>EXW</v>
          </cell>
          <cell r="G222" t="str">
            <v>Pune</v>
          </cell>
          <cell r="H222">
            <v>0</v>
          </cell>
          <cell r="I222" t="str">
            <v>EUR</v>
          </cell>
          <cell r="J222" t="str">
            <v/>
          </cell>
          <cell r="K222" t="str">
            <v>Z3</v>
          </cell>
          <cell r="L222" t="str">
            <v>ZI02</v>
          </cell>
        </row>
        <row r="223">
          <cell r="A223" t="str">
            <v>103070</v>
          </cell>
          <cell r="B223" t="str">
            <v>C074</v>
          </cell>
          <cell r="C223" t="str">
            <v>10</v>
          </cell>
          <cell r="D223" t="str">
            <v>10</v>
          </cell>
          <cell r="E223" t="str">
            <v>100</v>
          </cell>
          <cell r="F223" t="str">
            <v/>
          </cell>
          <cell r="G223" t="str">
            <v/>
          </cell>
          <cell r="H223">
            <v>0</v>
          </cell>
          <cell r="I223" t="str">
            <v>KRW</v>
          </cell>
          <cell r="J223" t="str">
            <v/>
          </cell>
          <cell r="K223" t="str">
            <v/>
          </cell>
          <cell r="L223" t="str">
            <v/>
          </cell>
        </row>
        <row r="224">
          <cell r="A224" t="str">
            <v>103070</v>
          </cell>
          <cell r="B224" t="str">
            <v>C199</v>
          </cell>
          <cell r="C224" t="str">
            <v>10</v>
          </cell>
          <cell r="D224" t="str">
            <v>10</v>
          </cell>
          <cell r="E224" t="str">
            <v>100</v>
          </cell>
          <cell r="F224" t="str">
            <v/>
          </cell>
          <cell r="G224" t="str">
            <v/>
          </cell>
          <cell r="H224">
            <v>0</v>
          </cell>
          <cell r="I224" t="str">
            <v>EUR</v>
          </cell>
          <cell r="J224" t="str">
            <v/>
          </cell>
          <cell r="K224" t="str">
            <v>Z3</v>
          </cell>
          <cell r="L224" t="str">
            <v/>
          </cell>
        </row>
        <row r="225">
          <cell r="A225" t="str">
            <v>103094</v>
          </cell>
          <cell r="B225" t="str">
            <v>C042</v>
          </cell>
          <cell r="C225" t="str">
            <v>10</v>
          </cell>
          <cell r="D225" t="str">
            <v>10</v>
          </cell>
          <cell r="E225" t="str">
            <v>100</v>
          </cell>
          <cell r="F225" t="str">
            <v>CIF</v>
          </cell>
          <cell r="G225" t="str">
            <v>Sanand</v>
          </cell>
          <cell r="H225">
            <v>0</v>
          </cell>
          <cell r="I225" t="str">
            <v>INR</v>
          </cell>
          <cell r="J225" t="str">
            <v/>
          </cell>
          <cell r="K225" t="str">
            <v>Z1</v>
          </cell>
          <cell r="L225" t="str">
            <v>Z153</v>
          </cell>
        </row>
        <row r="226">
          <cell r="A226" t="str">
            <v>103309</v>
          </cell>
          <cell r="B226" t="str">
            <v>C042</v>
          </cell>
          <cell r="C226" t="str">
            <v>10</v>
          </cell>
          <cell r="D226" t="str">
            <v>10</v>
          </cell>
          <cell r="E226" t="str">
            <v>100</v>
          </cell>
          <cell r="F226" t="str">
            <v>EXW</v>
          </cell>
          <cell r="G226" t="str">
            <v>Pune</v>
          </cell>
          <cell r="H226">
            <v>0</v>
          </cell>
          <cell r="I226" t="str">
            <v>INR</v>
          </cell>
          <cell r="J226" t="str">
            <v/>
          </cell>
          <cell r="K226" t="str">
            <v>Z5</v>
          </cell>
          <cell r="L226" t="str">
            <v>0201</v>
          </cell>
        </row>
        <row r="227">
          <cell r="A227" t="str">
            <v>103310</v>
          </cell>
          <cell r="B227" t="str">
            <v>C042</v>
          </cell>
          <cell r="C227" t="str">
            <v>10</v>
          </cell>
          <cell r="D227" t="str">
            <v>10</v>
          </cell>
          <cell r="E227" t="str">
            <v>100</v>
          </cell>
          <cell r="F227" t="str">
            <v>EXW</v>
          </cell>
          <cell r="G227" t="str">
            <v>Pune</v>
          </cell>
          <cell r="H227">
            <v>0</v>
          </cell>
          <cell r="I227" t="str">
            <v>INR</v>
          </cell>
          <cell r="J227" t="str">
            <v/>
          </cell>
          <cell r="K227" t="str">
            <v>Z5</v>
          </cell>
          <cell r="L227" t="str">
            <v>0201</v>
          </cell>
        </row>
        <row r="228">
          <cell r="A228" t="str">
            <v>103310</v>
          </cell>
          <cell r="B228" t="str">
            <v>C199</v>
          </cell>
          <cell r="C228" t="str">
            <v>10</v>
          </cell>
          <cell r="D228" t="str">
            <v>10</v>
          </cell>
          <cell r="E228" t="str">
            <v>100</v>
          </cell>
          <cell r="F228" t="str">
            <v/>
          </cell>
          <cell r="G228" t="str">
            <v/>
          </cell>
          <cell r="H228">
            <v>0</v>
          </cell>
          <cell r="I228" t="str">
            <v>CNY</v>
          </cell>
          <cell r="J228" t="str">
            <v/>
          </cell>
          <cell r="K228" t="str">
            <v>Z3</v>
          </cell>
          <cell r="L228" t="str">
            <v>3670</v>
          </cell>
        </row>
        <row r="229">
          <cell r="A229" t="str">
            <v>103678</v>
          </cell>
          <cell r="B229" t="str">
            <v>C199</v>
          </cell>
          <cell r="C229" t="str">
            <v>10</v>
          </cell>
          <cell r="D229" t="str">
            <v>10</v>
          </cell>
          <cell r="E229" t="str">
            <v>100</v>
          </cell>
          <cell r="F229" t="str">
            <v/>
          </cell>
          <cell r="G229" t="str">
            <v/>
          </cell>
          <cell r="H229">
            <v>0</v>
          </cell>
          <cell r="I229" t="str">
            <v>CNY</v>
          </cell>
          <cell r="J229" t="str">
            <v/>
          </cell>
          <cell r="K229" t="str">
            <v>Z3</v>
          </cell>
          <cell r="L229" t="str">
            <v>3760</v>
          </cell>
        </row>
        <row r="230">
          <cell r="A230" t="str">
            <v>103696</v>
          </cell>
          <cell r="B230" t="str">
            <v>C199</v>
          </cell>
          <cell r="C230" t="str">
            <v>10</v>
          </cell>
          <cell r="D230" t="str">
            <v>10</v>
          </cell>
          <cell r="E230" t="str">
            <v>100</v>
          </cell>
          <cell r="F230" t="str">
            <v/>
          </cell>
          <cell r="G230" t="str">
            <v/>
          </cell>
          <cell r="H230">
            <v>0</v>
          </cell>
          <cell r="I230" t="str">
            <v>CNY</v>
          </cell>
          <cell r="J230" t="str">
            <v/>
          </cell>
          <cell r="K230" t="str">
            <v>Z3</v>
          </cell>
          <cell r="L230" t="str">
            <v>ZI01</v>
          </cell>
        </row>
        <row r="231">
          <cell r="A231" t="str">
            <v>1012376</v>
          </cell>
          <cell r="B231" t="str">
            <v>C199</v>
          </cell>
          <cell r="C231" t="str">
            <v>10</v>
          </cell>
          <cell r="D231" t="str">
            <v>10</v>
          </cell>
          <cell r="E231" t="str">
            <v>100</v>
          </cell>
          <cell r="F231" t="str">
            <v>FOB</v>
          </cell>
          <cell r="G231" t="str">
            <v>Filderstadt</v>
          </cell>
          <cell r="H231">
            <v>0</v>
          </cell>
          <cell r="I231" t="str">
            <v>CNY</v>
          </cell>
          <cell r="J231" t="str">
            <v/>
          </cell>
          <cell r="K231" t="str">
            <v>Z2</v>
          </cell>
          <cell r="L231" t="str">
            <v>3700</v>
          </cell>
        </row>
        <row r="232">
          <cell r="A232" t="str">
            <v>1012377</v>
          </cell>
          <cell r="B232" t="str">
            <v>C199</v>
          </cell>
          <cell r="C232" t="str">
            <v>10</v>
          </cell>
          <cell r="D232" t="str">
            <v>10</v>
          </cell>
          <cell r="E232" t="str">
            <v>100</v>
          </cell>
          <cell r="F232" t="str">
            <v>CPT</v>
          </cell>
          <cell r="G232" t="str">
            <v>Baoding</v>
          </cell>
          <cell r="H232">
            <v>0</v>
          </cell>
          <cell r="I232" t="str">
            <v>CNY</v>
          </cell>
          <cell r="J232" t="str">
            <v/>
          </cell>
          <cell r="K232" t="str">
            <v>Z1</v>
          </cell>
          <cell r="L232" t="str">
            <v>3700</v>
          </cell>
        </row>
        <row r="233">
          <cell r="A233" t="str">
            <v>1012383</v>
          </cell>
          <cell r="B233" t="str">
            <v>C042</v>
          </cell>
          <cell r="C233" t="str">
            <v>10</v>
          </cell>
          <cell r="D233" t="str">
            <v>10</v>
          </cell>
          <cell r="E233" t="str">
            <v>100</v>
          </cell>
          <cell r="F233" t="str">
            <v>CIF</v>
          </cell>
          <cell r="G233" t="str">
            <v>KANCHIPURAM</v>
          </cell>
          <cell r="H233">
            <v>0</v>
          </cell>
          <cell r="I233" t="str">
            <v>INR</v>
          </cell>
          <cell r="J233" t="str">
            <v/>
          </cell>
          <cell r="K233" t="str">
            <v>Z1</v>
          </cell>
          <cell r="L233" t="str">
            <v/>
          </cell>
        </row>
        <row r="234">
          <cell r="A234" t="str">
            <v>1012388</v>
          </cell>
          <cell r="B234" t="str">
            <v>C199</v>
          </cell>
          <cell r="C234" t="str">
            <v>10</v>
          </cell>
          <cell r="D234" t="str">
            <v>10</v>
          </cell>
          <cell r="E234" t="str">
            <v>100</v>
          </cell>
          <cell r="F234" t="str">
            <v>CPT</v>
          </cell>
          <cell r="G234" t="str">
            <v>hebei</v>
          </cell>
          <cell r="H234">
            <v>0</v>
          </cell>
          <cell r="I234" t="str">
            <v>CNY</v>
          </cell>
          <cell r="J234" t="str">
            <v/>
          </cell>
          <cell r="K234" t="str">
            <v>Z1</v>
          </cell>
          <cell r="L234" t="str">
            <v>Z105</v>
          </cell>
        </row>
        <row r="235">
          <cell r="A235" t="str">
            <v>1012393</v>
          </cell>
          <cell r="B235" t="str">
            <v>C042</v>
          </cell>
          <cell r="C235" t="str">
            <v>10</v>
          </cell>
          <cell r="D235" t="str">
            <v>10</v>
          </cell>
          <cell r="E235" t="str">
            <v>100</v>
          </cell>
          <cell r="F235" t="str">
            <v>EXW</v>
          </cell>
          <cell r="G235" t="str">
            <v>TALEGAON</v>
          </cell>
          <cell r="H235">
            <v>0</v>
          </cell>
          <cell r="I235" t="str">
            <v>INR</v>
          </cell>
          <cell r="J235" t="str">
            <v/>
          </cell>
          <cell r="K235" t="str">
            <v>01</v>
          </cell>
          <cell r="L235" t="str">
            <v>Z005</v>
          </cell>
        </row>
        <row r="236">
          <cell r="A236" t="str">
            <v>1012401</v>
          </cell>
          <cell r="B236" t="str">
            <v>C042</v>
          </cell>
          <cell r="C236" t="str">
            <v>10</v>
          </cell>
          <cell r="D236" t="str">
            <v>10</v>
          </cell>
          <cell r="E236" t="str">
            <v>100</v>
          </cell>
          <cell r="F236" t="str">
            <v/>
          </cell>
          <cell r="G236" t="str">
            <v/>
          </cell>
          <cell r="H236">
            <v>0</v>
          </cell>
          <cell r="I236" t="str">
            <v>INR</v>
          </cell>
          <cell r="J236" t="str">
            <v/>
          </cell>
          <cell r="K236" t="str">
            <v/>
          </cell>
          <cell r="L236" t="str">
            <v/>
          </cell>
        </row>
        <row r="237">
          <cell r="A237" t="str">
            <v>1012403</v>
          </cell>
          <cell r="B237" t="str">
            <v>C042</v>
          </cell>
          <cell r="C237" t="str">
            <v>10</v>
          </cell>
          <cell r="D237" t="str">
            <v>10</v>
          </cell>
          <cell r="E237" t="str">
            <v>100</v>
          </cell>
          <cell r="F237" t="str">
            <v>EXW</v>
          </cell>
          <cell r="G237" t="str">
            <v/>
          </cell>
          <cell r="H237">
            <v>0</v>
          </cell>
          <cell r="I237" t="str">
            <v>INR</v>
          </cell>
          <cell r="J237" t="str">
            <v/>
          </cell>
          <cell r="K237" t="str">
            <v/>
          </cell>
          <cell r="L237" t="str">
            <v/>
          </cell>
        </row>
        <row r="238">
          <cell r="A238" t="str">
            <v>1012408</v>
          </cell>
          <cell r="B238" t="str">
            <v>C199</v>
          </cell>
          <cell r="C238" t="str">
            <v>10</v>
          </cell>
          <cell r="D238" t="str">
            <v>10</v>
          </cell>
          <cell r="E238" t="str">
            <v>100</v>
          </cell>
          <cell r="F238" t="str">
            <v>EXW</v>
          </cell>
          <cell r="G238" t="str">
            <v/>
          </cell>
          <cell r="H238">
            <v>0</v>
          </cell>
          <cell r="I238" t="str">
            <v>CNY</v>
          </cell>
          <cell r="J238" t="str">
            <v/>
          </cell>
          <cell r="K238" t="str">
            <v>Z1</v>
          </cell>
          <cell r="L238" t="str">
            <v>3480</v>
          </cell>
        </row>
        <row r="239">
          <cell r="A239" t="str">
            <v>1012409</v>
          </cell>
          <cell r="B239" t="str">
            <v>C199</v>
          </cell>
          <cell r="C239" t="str">
            <v>10</v>
          </cell>
          <cell r="D239" t="str">
            <v>10</v>
          </cell>
          <cell r="E239" t="str">
            <v>100</v>
          </cell>
          <cell r="F239" t="str">
            <v>EXW</v>
          </cell>
          <cell r="G239" t="str">
            <v/>
          </cell>
          <cell r="H239">
            <v>0</v>
          </cell>
          <cell r="I239" t="str">
            <v>CNY</v>
          </cell>
          <cell r="J239" t="str">
            <v/>
          </cell>
          <cell r="K239" t="str">
            <v>Z1</v>
          </cell>
          <cell r="L239" t="str">
            <v>0480</v>
          </cell>
        </row>
        <row r="240">
          <cell r="A240" t="str">
            <v>1012410</v>
          </cell>
          <cell r="B240" t="str">
            <v>C074</v>
          </cell>
          <cell r="C240" t="str">
            <v>10</v>
          </cell>
          <cell r="D240" t="str">
            <v>10</v>
          </cell>
          <cell r="E240" t="str">
            <v>100</v>
          </cell>
          <cell r="F240" t="str">
            <v>DAP</v>
          </cell>
          <cell r="G240" t="str">
            <v>Seoul</v>
          </cell>
          <cell r="H240">
            <v>0</v>
          </cell>
          <cell r="I240" t="str">
            <v>KRW</v>
          </cell>
          <cell r="J240" t="str">
            <v/>
          </cell>
          <cell r="K240" t="str">
            <v>Z1</v>
          </cell>
          <cell r="L240" t="str">
            <v>7705</v>
          </cell>
        </row>
        <row r="241">
          <cell r="A241" t="str">
            <v>1012413</v>
          </cell>
          <cell r="B241" t="str">
            <v>C199</v>
          </cell>
          <cell r="C241" t="str">
            <v>10</v>
          </cell>
          <cell r="D241" t="str">
            <v>10</v>
          </cell>
          <cell r="E241" t="str">
            <v>100</v>
          </cell>
          <cell r="F241" t="str">
            <v>EXW</v>
          </cell>
          <cell r="G241" t="str">
            <v>Kunshan</v>
          </cell>
          <cell r="H241">
            <v>0</v>
          </cell>
          <cell r="I241" t="str">
            <v>CNY</v>
          </cell>
          <cell r="J241" t="str">
            <v/>
          </cell>
          <cell r="K241" t="str">
            <v>Z1</v>
          </cell>
          <cell r="L241" t="str">
            <v>0520</v>
          </cell>
        </row>
        <row r="242">
          <cell r="A242" t="str">
            <v>1012433</v>
          </cell>
          <cell r="B242" t="str">
            <v>C042</v>
          </cell>
          <cell r="C242" t="str">
            <v>10</v>
          </cell>
          <cell r="D242" t="str">
            <v>10</v>
          </cell>
          <cell r="E242" t="str">
            <v>100</v>
          </cell>
          <cell r="F242" t="str">
            <v>EXW</v>
          </cell>
          <cell r="G242" t="str">
            <v>pune</v>
          </cell>
          <cell r="H242">
            <v>0</v>
          </cell>
          <cell r="I242" t="str">
            <v>EUR</v>
          </cell>
          <cell r="J242" t="str">
            <v/>
          </cell>
          <cell r="K242" t="str">
            <v>Z2</v>
          </cell>
          <cell r="L242" t="str">
            <v>6100</v>
          </cell>
        </row>
        <row r="243">
          <cell r="A243" t="str">
            <v>1012444</v>
          </cell>
          <cell r="B243" t="str">
            <v>C199</v>
          </cell>
          <cell r="C243" t="str">
            <v>10</v>
          </cell>
          <cell r="D243" t="str">
            <v>10</v>
          </cell>
          <cell r="E243" t="str">
            <v>100</v>
          </cell>
          <cell r="F243" t="str">
            <v>EXW</v>
          </cell>
          <cell r="G243" t="str">
            <v/>
          </cell>
          <cell r="H243">
            <v>0</v>
          </cell>
          <cell r="I243" t="str">
            <v>CNY</v>
          </cell>
          <cell r="J243" t="str">
            <v/>
          </cell>
          <cell r="K243" t="str">
            <v>Z1</v>
          </cell>
          <cell r="L243" t="str">
            <v>3480</v>
          </cell>
        </row>
        <row r="244">
          <cell r="A244" t="str">
            <v>1012468</v>
          </cell>
          <cell r="B244" t="str">
            <v>C199</v>
          </cell>
          <cell r="C244" t="str">
            <v>10</v>
          </cell>
          <cell r="D244" t="str">
            <v>10</v>
          </cell>
          <cell r="E244" t="str">
            <v>100</v>
          </cell>
          <cell r="F244" t="str">
            <v/>
          </cell>
          <cell r="G244" t="str">
            <v/>
          </cell>
          <cell r="H244">
            <v>0</v>
          </cell>
          <cell r="I244" t="str">
            <v>CNY</v>
          </cell>
          <cell r="J244" t="str">
            <v/>
          </cell>
          <cell r="K244" t="str">
            <v/>
          </cell>
          <cell r="L244" t="str">
            <v/>
          </cell>
        </row>
        <row r="245">
          <cell r="A245" t="str">
            <v>1012483</v>
          </cell>
          <cell r="B245" t="str">
            <v>C042</v>
          </cell>
          <cell r="C245" t="str">
            <v>10</v>
          </cell>
          <cell r="D245" t="str">
            <v>10</v>
          </cell>
          <cell r="E245" t="str">
            <v>100</v>
          </cell>
          <cell r="F245" t="str">
            <v>EXW</v>
          </cell>
          <cell r="G245" t="str">
            <v>pune</v>
          </cell>
          <cell r="H245">
            <v>0</v>
          </cell>
          <cell r="I245" t="str">
            <v>INR</v>
          </cell>
          <cell r="J245" t="str">
            <v/>
          </cell>
          <cell r="K245" t="str">
            <v>Z5</v>
          </cell>
          <cell r="L245" t="str">
            <v>ZI02</v>
          </cell>
        </row>
        <row r="246">
          <cell r="A246" t="str">
            <v>1012484</v>
          </cell>
          <cell r="B246" t="str">
            <v>C042</v>
          </cell>
          <cell r="C246" t="str">
            <v>10</v>
          </cell>
          <cell r="D246" t="str">
            <v>10</v>
          </cell>
          <cell r="E246" t="str">
            <v>100</v>
          </cell>
          <cell r="F246" t="str">
            <v>CIP</v>
          </cell>
          <cell r="G246" t="str">
            <v>Chakan</v>
          </cell>
          <cell r="H246">
            <v>0</v>
          </cell>
          <cell r="I246" t="str">
            <v>INR</v>
          </cell>
          <cell r="J246" t="str">
            <v/>
          </cell>
          <cell r="K246" t="str">
            <v>Z1</v>
          </cell>
          <cell r="L246" t="str">
            <v>7604</v>
          </cell>
        </row>
        <row r="247">
          <cell r="A247" t="str">
            <v>1012489</v>
          </cell>
          <cell r="B247" t="str">
            <v>C074</v>
          </cell>
          <cell r="C247" t="str">
            <v>10</v>
          </cell>
          <cell r="D247" t="str">
            <v>10</v>
          </cell>
          <cell r="E247" t="str">
            <v>100</v>
          </cell>
          <cell r="F247" t="str">
            <v>DAP</v>
          </cell>
          <cell r="G247" t="str">
            <v>Seoul</v>
          </cell>
          <cell r="H247">
            <v>0</v>
          </cell>
          <cell r="I247" t="str">
            <v>KRW</v>
          </cell>
          <cell r="J247" t="str">
            <v/>
          </cell>
          <cell r="K247" t="str">
            <v>Z1</v>
          </cell>
          <cell r="L247" t="str">
            <v>7705</v>
          </cell>
        </row>
        <row r="248">
          <cell r="A248" t="str">
            <v>1012528</v>
          </cell>
          <cell r="B248" t="str">
            <v>C199</v>
          </cell>
          <cell r="C248" t="str">
            <v>10</v>
          </cell>
          <cell r="D248" t="str">
            <v>10</v>
          </cell>
          <cell r="E248" t="str">
            <v>100</v>
          </cell>
          <cell r="F248" t="str">
            <v/>
          </cell>
          <cell r="G248" t="str">
            <v/>
          </cell>
          <cell r="H248">
            <v>0</v>
          </cell>
          <cell r="I248" t="str">
            <v>CNY</v>
          </cell>
          <cell r="J248" t="str">
            <v/>
          </cell>
          <cell r="K248" t="str">
            <v/>
          </cell>
          <cell r="L248" t="str">
            <v/>
          </cell>
        </row>
        <row r="249">
          <cell r="A249" t="str">
            <v>1012529</v>
          </cell>
          <cell r="B249" t="str">
            <v>C199</v>
          </cell>
          <cell r="C249" t="str">
            <v>10</v>
          </cell>
          <cell r="D249" t="str">
            <v>10</v>
          </cell>
          <cell r="E249" t="str">
            <v>100</v>
          </cell>
          <cell r="F249" t="str">
            <v>CPT</v>
          </cell>
          <cell r="G249" t="str">
            <v>Ningbo</v>
          </cell>
          <cell r="H249">
            <v>0</v>
          </cell>
          <cell r="I249" t="str">
            <v>CNY</v>
          </cell>
          <cell r="J249" t="str">
            <v/>
          </cell>
          <cell r="K249" t="str">
            <v>Z1</v>
          </cell>
          <cell r="L249" t="str">
            <v>3480</v>
          </cell>
        </row>
        <row r="250">
          <cell r="A250" t="str">
            <v>1012533</v>
          </cell>
          <cell r="B250" t="str">
            <v>C199</v>
          </cell>
          <cell r="C250" t="str">
            <v>10</v>
          </cell>
          <cell r="D250" t="str">
            <v>10</v>
          </cell>
          <cell r="E250" t="str">
            <v>100</v>
          </cell>
          <cell r="F250" t="str">
            <v/>
          </cell>
          <cell r="G250" t="str">
            <v/>
          </cell>
          <cell r="H250">
            <v>0</v>
          </cell>
          <cell r="I250" t="str">
            <v>CNY</v>
          </cell>
          <cell r="J250" t="str">
            <v/>
          </cell>
          <cell r="K250" t="str">
            <v/>
          </cell>
          <cell r="L250" t="str">
            <v/>
          </cell>
        </row>
        <row r="251">
          <cell r="A251" t="str">
            <v>1012544</v>
          </cell>
          <cell r="B251" t="str">
            <v>C199</v>
          </cell>
          <cell r="C251" t="str">
            <v>10</v>
          </cell>
          <cell r="D251" t="str">
            <v>10</v>
          </cell>
          <cell r="E251" t="str">
            <v>100</v>
          </cell>
          <cell r="F251" t="str">
            <v/>
          </cell>
          <cell r="G251" t="str">
            <v/>
          </cell>
          <cell r="H251">
            <v>0</v>
          </cell>
          <cell r="I251" t="str">
            <v>CNY</v>
          </cell>
          <cell r="J251" t="str">
            <v/>
          </cell>
          <cell r="K251" t="str">
            <v>Z1</v>
          </cell>
          <cell r="L251" t="str">
            <v/>
          </cell>
        </row>
        <row r="252">
          <cell r="A252" t="str">
            <v>1012553</v>
          </cell>
          <cell r="B252" t="str">
            <v>C199</v>
          </cell>
          <cell r="C252" t="str">
            <v>10</v>
          </cell>
          <cell r="D252" t="str">
            <v>10</v>
          </cell>
          <cell r="E252" t="str">
            <v>100</v>
          </cell>
          <cell r="F252" t="str">
            <v/>
          </cell>
          <cell r="G252" t="str">
            <v/>
          </cell>
          <cell r="H252">
            <v>0</v>
          </cell>
          <cell r="I252" t="str">
            <v>CNY</v>
          </cell>
          <cell r="J252" t="str">
            <v/>
          </cell>
          <cell r="K252" t="str">
            <v/>
          </cell>
          <cell r="L252" t="str">
            <v/>
          </cell>
        </row>
        <row r="253">
          <cell r="A253" t="str">
            <v>1012568</v>
          </cell>
          <cell r="B253" t="str">
            <v>C042</v>
          </cell>
          <cell r="C253" t="str">
            <v>10</v>
          </cell>
          <cell r="D253" t="str">
            <v>10</v>
          </cell>
          <cell r="E253" t="str">
            <v>100</v>
          </cell>
          <cell r="F253" t="str">
            <v>EXW</v>
          </cell>
          <cell r="G253" t="str">
            <v>Pune</v>
          </cell>
          <cell r="H253">
            <v>0</v>
          </cell>
          <cell r="I253" t="str">
            <v>USD</v>
          </cell>
          <cell r="J253" t="str">
            <v/>
          </cell>
          <cell r="K253" t="str">
            <v>02</v>
          </cell>
          <cell r="L253" t="str">
            <v>Z910</v>
          </cell>
        </row>
        <row r="254">
          <cell r="A254" t="str">
            <v>1012573</v>
          </cell>
          <cell r="B254" t="str">
            <v>C199</v>
          </cell>
          <cell r="C254" t="str">
            <v>10</v>
          </cell>
          <cell r="D254" t="str">
            <v>10</v>
          </cell>
          <cell r="E254" t="str">
            <v>100</v>
          </cell>
          <cell r="F254" t="str">
            <v/>
          </cell>
          <cell r="G254" t="str">
            <v/>
          </cell>
          <cell r="H254">
            <v>0</v>
          </cell>
          <cell r="I254" t="str">
            <v>CNY</v>
          </cell>
          <cell r="J254" t="str">
            <v/>
          </cell>
          <cell r="K254" t="str">
            <v>Z1</v>
          </cell>
          <cell r="L254" t="str">
            <v/>
          </cell>
        </row>
        <row r="255">
          <cell r="A255" t="str">
            <v>1012588</v>
          </cell>
          <cell r="B255" t="str">
            <v>C042</v>
          </cell>
          <cell r="C255" t="str">
            <v>10</v>
          </cell>
          <cell r="D255" t="str">
            <v>10</v>
          </cell>
          <cell r="E255" t="str">
            <v>100</v>
          </cell>
          <cell r="F255" t="str">
            <v>CIF</v>
          </cell>
          <cell r="G255" t="str">
            <v>Gurgaon</v>
          </cell>
          <cell r="H255">
            <v>0</v>
          </cell>
          <cell r="I255" t="str">
            <v>INR</v>
          </cell>
          <cell r="J255" t="str">
            <v/>
          </cell>
          <cell r="K255" t="str">
            <v>Z1</v>
          </cell>
          <cell r="L255" t="str">
            <v>Z170</v>
          </cell>
        </row>
        <row r="256">
          <cell r="A256" t="str">
            <v>1012598</v>
          </cell>
          <cell r="B256" t="str">
            <v>C042</v>
          </cell>
          <cell r="C256" t="str">
            <v>10</v>
          </cell>
          <cell r="D256" t="str">
            <v>10</v>
          </cell>
          <cell r="E256" t="str">
            <v>100</v>
          </cell>
          <cell r="F256" t="str">
            <v>CIP</v>
          </cell>
          <cell r="G256" t="str">
            <v>Chakan</v>
          </cell>
          <cell r="H256">
            <v>0</v>
          </cell>
          <cell r="I256" t="str">
            <v>INR</v>
          </cell>
          <cell r="J256" t="str">
            <v/>
          </cell>
          <cell r="K256" t="str">
            <v>Z1</v>
          </cell>
          <cell r="L256" t="str">
            <v>7604</v>
          </cell>
        </row>
        <row r="257">
          <cell r="A257" t="str">
            <v>1012603</v>
          </cell>
          <cell r="B257" t="str">
            <v>C042</v>
          </cell>
          <cell r="C257" t="str">
            <v>10</v>
          </cell>
          <cell r="D257" t="str">
            <v>10</v>
          </cell>
          <cell r="E257" t="str">
            <v>100</v>
          </cell>
          <cell r="F257" t="str">
            <v>CIP</v>
          </cell>
          <cell r="G257" t="str">
            <v>Gurgaon Haryana</v>
          </cell>
          <cell r="H257">
            <v>0</v>
          </cell>
          <cell r="I257" t="str">
            <v>INR</v>
          </cell>
          <cell r="J257" t="str">
            <v/>
          </cell>
          <cell r="K257" t="str">
            <v>Z1</v>
          </cell>
          <cell r="L257" t="str">
            <v>Z170</v>
          </cell>
        </row>
        <row r="258">
          <cell r="A258" t="str">
            <v>1012613</v>
          </cell>
          <cell r="B258" t="str">
            <v>C199</v>
          </cell>
          <cell r="C258" t="str">
            <v>10</v>
          </cell>
          <cell r="D258" t="str">
            <v>10</v>
          </cell>
          <cell r="E258" t="str">
            <v>100</v>
          </cell>
          <cell r="F258" t="str">
            <v>CPT</v>
          </cell>
          <cell r="G258" t="str">
            <v>zhejiang</v>
          </cell>
          <cell r="H258">
            <v>0</v>
          </cell>
          <cell r="I258" t="str">
            <v>CNY</v>
          </cell>
          <cell r="J258" t="str">
            <v/>
          </cell>
          <cell r="K258" t="str">
            <v>Z1</v>
          </cell>
          <cell r="L258" t="str">
            <v>Z131</v>
          </cell>
        </row>
        <row r="259">
          <cell r="A259" t="str">
            <v>1012618</v>
          </cell>
          <cell r="B259" t="str">
            <v>C199</v>
          </cell>
          <cell r="C259" t="str">
            <v>10</v>
          </cell>
          <cell r="D259" t="str">
            <v>10</v>
          </cell>
          <cell r="E259" t="str">
            <v>100</v>
          </cell>
          <cell r="F259" t="str">
            <v>CPT</v>
          </cell>
          <cell r="G259" t="str">
            <v>Nanjing</v>
          </cell>
          <cell r="H259">
            <v>0</v>
          </cell>
          <cell r="I259" t="str">
            <v>CNY</v>
          </cell>
          <cell r="J259" t="str">
            <v/>
          </cell>
          <cell r="K259" t="str">
            <v>Z1</v>
          </cell>
          <cell r="L259" t="str">
            <v>Z227</v>
          </cell>
        </row>
        <row r="260">
          <cell r="A260" t="str">
            <v>1012623</v>
          </cell>
          <cell r="B260" t="str">
            <v>C199</v>
          </cell>
          <cell r="C260" t="str">
            <v>10</v>
          </cell>
          <cell r="D260" t="str">
            <v>10</v>
          </cell>
          <cell r="E260" t="str">
            <v>100</v>
          </cell>
          <cell r="F260" t="str">
            <v>CPT</v>
          </cell>
          <cell r="G260" t="str">
            <v>Shanghai</v>
          </cell>
          <cell r="H260">
            <v>0</v>
          </cell>
          <cell r="I260" t="str">
            <v>CNY</v>
          </cell>
          <cell r="J260" t="str">
            <v/>
          </cell>
          <cell r="K260" t="str">
            <v>Z1</v>
          </cell>
          <cell r="L260" t="str">
            <v>Z231</v>
          </cell>
        </row>
        <row r="261">
          <cell r="A261" t="str">
            <v>1012624</v>
          </cell>
          <cell r="B261" t="str">
            <v>C199</v>
          </cell>
          <cell r="C261" t="str">
            <v>10</v>
          </cell>
          <cell r="D261" t="str">
            <v>10</v>
          </cell>
          <cell r="E261" t="str">
            <v>100</v>
          </cell>
          <cell r="F261" t="str">
            <v>CPT</v>
          </cell>
          <cell r="G261" t="str">
            <v>Shanghai</v>
          </cell>
          <cell r="H261">
            <v>0</v>
          </cell>
          <cell r="I261" t="str">
            <v>CNY</v>
          </cell>
          <cell r="J261" t="str">
            <v/>
          </cell>
          <cell r="K261" t="str">
            <v>Z1</v>
          </cell>
          <cell r="L261" t="str">
            <v>Z231</v>
          </cell>
        </row>
        <row r="262">
          <cell r="A262" t="str">
            <v>1012628</v>
          </cell>
          <cell r="B262" t="str">
            <v>C199</v>
          </cell>
          <cell r="C262" t="str">
            <v>10</v>
          </cell>
          <cell r="D262" t="str">
            <v>10</v>
          </cell>
          <cell r="E262" t="str">
            <v>100</v>
          </cell>
          <cell r="F262" t="str">
            <v>CPT</v>
          </cell>
          <cell r="G262" t="str">
            <v>上海</v>
          </cell>
          <cell r="H262">
            <v>0</v>
          </cell>
          <cell r="I262" t="str">
            <v>CNY</v>
          </cell>
          <cell r="J262" t="str">
            <v/>
          </cell>
          <cell r="K262" t="str">
            <v/>
          </cell>
          <cell r="L262" t="str">
            <v>Z231</v>
          </cell>
        </row>
        <row r="263">
          <cell r="A263" t="str">
            <v>1012645</v>
          </cell>
          <cell r="B263" t="str">
            <v>C199</v>
          </cell>
          <cell r="C263" t="str">
            <v>10</v>
          </cell>
          <cell r="D263" t="str">
            <v>10</v>
          </cell>
          <cell r="E263" t="str">
            <v>100</v>
          </cell>
          <cell r="F263" t="str">
            <v/>
          </cell>
          <cell r="G263" t="str">
            <v/>
          </cell>
          <cell r="H263">
            <v>0</v>
          </cell>
          <cell r="I263" t="str">
            <v>CNY</v>
          </cell>
          <cell r="J263" t="str">
            <v/>
          </cell>
          <cell r="K263" t="str">
            <v>Z1</v>
          </cell>
          <cell r="L263" t="str">
            <v/>
          </cell>
        </row>
        <row r="264">
          <cell r="A264" t="str">
            <v>1012648</v>
          </cell>
          <cell r="B264" t="str">
            <v>C042</v>
          </cell>
          <cell r="C264" t="str">
            <v>10</v>
          </cell>
          <cell r="D264" t="str">
            <v>10</v>
          </cell>
          <cell r="E264" t="str">
            <v>100</v>
          </cell>
          <cell r="F264" t="str">
            <v>EXW</v>
          </cell>
          <cell r="G264" t="str">
            <v>Gurgaon</v>
          </cell>
          <cell r="H264">
            <v>0</v>
          </cell>
          <cell r="I264" t="str">
            <v>INR</v>
          </cell>
          <cell r="J264" t="str">
            <v/>
          </cell>
          <cell r="K264" t="str">
            <v>Z1</v>
          </cell>
          <cell r="L264" t="str">
            <v>Z170</v>
          </cell>
        </row>
        <row r="265">
          <cell r="A265" t="str">
            <v>1012653</v>
          </cell>
          <cell r="B265" t="str">
            <v>C199</v>
          </cell>
          <cell r="C265" t="str">
            <v>10</v>
          </cell>
          <cell r="D265" t="str">
            <v>10</v>
          </cell>
          <cell r="E265" t="str">
            <v>100</v>
          </cell>
          <cell r="F265" t="str">
            <v/>
          </cell>
          <cell r="G265" t="str">
            <v/>
          </cell>
          <cell r="H265">
            <v>0</v>
          </cell>
          <cell r="I265" t="str">
            <v>CNY</v>
          </cell>
          <cell r="J265" t="str">
            <v/>
          </cell>
          <cell r="K265" t="str">
            <v>Z1</v>
          </cell>
          <cell r="L265" t="str">
            <v>0534</v>
          </cell>
        </row>
        <row r="266">
          <cell r="A266" t="str">
            <v>1012668</v>
          </cell>
          <cell r="B266" t="str">
            <v>C199</v>
          </cell>
          <cell r="C266" t="str">
            <v>10</v>
          </cell>
          <cell r="D266" t="str">
            <v>10</v>
          </cell>
          <cell r="E266" t="str">
            <v>100</v>
          </cell>
          <cell r="F266" t="str">
            <v/>
          </cell>
          <cell r="G266" t="str">
            <v/>
          </cell>
          <cell r="H266">
            <v>0</v>
          </cell>
          <cell r="I266" t="str">
            <v>CNY</v>
          </cell>
          <cell r="J266" t="str">
            <v/>
          </cell>
          <cell r="K266" t="str">
            <v>Z1</v>
          </cell>
          <cell r="L266" t="str">
            <v>0534</v>
          </cell>
        </row>
        <row r="267">
          <cell r="A267" t="str">
            <v>1012673</v>
          </cell>
          <cell r="B267" t="str">
            <v>C042</v>
          </cell>
          <cell r="C267" t="str">
            <v>10</v>
          </cell>
          <cell r="D267" t="str">
            <v>10</v>
          </cell>
          <cell r="E267" t="str">
            <v>100</v>
          </cell>
          <cell r="F267" t="str">
            <v>EXW</v>
          </cell>
          <cell r="G267" t="str">
            <v>pune</v>
          </cell>
          <cell r="H267">
            <v>0</v>
          </cell>
          <cell r="I267" t="str">
            <v>USD</v>
          </cell>
          <cell r="J267" t="str">
            <v/>
          </cell>
          <cell r="K267" t="str">
            <v>Z3</v>
          </cell>
          <cell r="L267" t="str">
            <v>ZI02</v>
          </cell>
        </row>
        <row r="268">
          <cell r="A268" t="str">
            <v>1012678</v>
          </cell>
          <cell r="B268" t="str">
            <v>C199</v>
          </cell>
          <cell r="C268" t="str">
            <v>10</v>
          </cell>
          <cell r="D268" t="str">
            <v>10</v>
          </cell>
          <cell r="E268" t="str">
            <v>100</v>
          </cell>
          <cell r="F268" t="str">
            <v/>
          </cell>
          <cell r="G268" t="str">
            <v/>
          </cell>
          <cell r="H268">
            <v>0</v>
          </cell>
          <cell r="I268" t="str">
            <v>CNY</v>
          </cell>
          <cell r="J268" t="str">
            <v/>
          </cell>
          <cell r="K268" t="str">
            <v>Z1</v>
          </cell>
          <cell r="L268" t="str">
            <v>ZI03</v>
          </cell>
        </row>
        <row r="269">
          <cell r="A269" t="str">
            <v>1012688</v>
          </cell>
          <cell r="B269" t="str">
            <v>C042</v>
          </cell>
          <cell r="C269" t="str">
            <v>10</v>
          </cell>
          <cell r="D269" t="str">
            <v>10</v>
          </cell>
          <cell r="E269" t="str">
            <v>100</v>
          </cell>
          <cell r="F269" t="str">
            <v>CIF</v>
          </cell>
          <cell r="G269" t="str">
            <v>Hansalpur</v>
          </cell>
          <cell r="H269">
            <v>0</v>
          </cell>
          <cell r="I269" t="str">
            <v>INR</v>
          </cell>
          <cell r="J269" t="str">
            <v/>
          </cell>
          <cell r="K269" t="str">
            <v/>
          </cell>
          <cell r="L269" t="str">
            <v>0460</v>
          </cell>
        </row>
        <row r="270">
          <cell r="A270" t="str">
            <v>1012689</v>
          </cell>
          <cell r="B270" t="str">
            <v>C042</v>
          </cell>
          <cell r="C270" t="str">
            <v>10</v>
          </cell>
          <cell r="D270" t="str">
            <v>10</v>
          </cell>
          <cell r="E270" t="str">
            <v>100</v>
          </cell>
          <cell r="F270" t="str">
            <v>CIF</v>
          </cell>
          <cell r="G270" t="str">
            <v>Chennai</v>
          </cell>
          <cell r="H270">
            <v>0</v>
          </cell>
          <cell r="I270" t="str">
            <v>INR</v>
          </cell>
          <cell r="J270" t="str">
            <v/>
          </cell>
          <cell r="K270" t="str">
            <v/>
          </cell>
          <cell r="L270" t="str">
            <v>0460</v>
          </cell>
        </row>
        <row r="271">
          <cell r="A271" t="str">
            <v>1012693</v>
          </cell>
          <cell r="B271" t="str">
            <v>C042</v>
          </cell>
          <cell r="C271" t="str">
            <v>10</v>
          </cell>
          <cell r="D271" t="str">
            <v>10</v>
          </cell>
          <cell r="E271" t="str">
            <v>100</v>
          </cell>
          <cell r="F271" t="str">
            <v>EXW</v>
          </cell>
          <cell r="G271" t="str">
            <v/>
          </cell>
          <cell r="H271">
            <v>0</v>
          </cell>
          <cell r="I271" t="str">
            <v>INR</v>
          </cell>
          <cell r="J271" t="str">
            <v/>
          </cell>
          <cell r="K271" t="str">
            <v/>
          </cell>
          <cell r="L271" t="str">
            <v>0460</v>
          </cell>
        </row>
        <row r="272">
          <cell r="A272" t="str">
            <v>1012698</v>
          </cell>
          <cell r="B272" t="str">
            <v>C074</v>
          </cell>
          <cell r="C272" t="str">
            <v>10</v>
          </cell>
          <cell r="D272" t="str">
            <v>10</v>
          </cell>
          <cell r="E272" t="str">
            <v>100</v>
          </cell>
          <cell r="F272" t="str">
            <v/>
          </cell>
          <cell r="G272" t="str">
            <v/>
          </cell>
          <cell r="H272">
            <v>0</v>
          </cell>
          <cell r="I272" t="str">
            <v>KRW</v>
          </cell>
          <cell r="J272" t="str">
            <v/>
          </cell>
          <cell r="K272" t="str">
            <v/>
          </cell>
          <cell r="L272" t="str">
            <v/>
          </cell>
        </row>
        <row r="273">
          <cell r="A273" t="str">
            <v>1012703</v>
          </cell>
          <cell r="B273" t="str">
            <v>C074</v>
          </cell>
          <cell r="C273" t="str">
            <v>10</v>
          </cell>
          <cell r="D273" t="str">
            <v>10</v>
          </cell>
          <cell r="E273" t="str">
            <v>100</v>
          </cell>
          <cell r="F273" t="str">
            <v>DAP</v>
          </cell>
          <cell r="G273" t="str">
            <v>Changwon-Si</v>
          </cell>
          <cell r="H273">
            <v>0</v>
          </cell>
          <cell r="I273" t="str">
            <v>KRW</v>
          </cell>
          <cell r="J273" t="str">
            <v/>
          </cell>
          <cell r="K273" t="str">
            <v>Z1</v>
          </cell>
          <cell r="L273" t="str">
            <v>7709</v>
          </cell>
        </row>
        <row r="274">
          <cell r="A274" t="str">
            <v>1012708</v>
          </cell>
          <cell r="B274" t="str">
            <v>C199</v>
          </cell>
          <cell r="C274" t="str">
            <v>10</v>
          </cell>
          <cell r="D274" t="str">
            <v>10</v>
          </cell>
          <cell r="E274" t="str">
            <v>100</v>
          </cell>
          <cell r="F274" t="str">
            <v>DDP</v>
          </cell>
          <cell r="G274" t="str">
            <v>Jiangxi</v>
          </cell>
          <cell r="H274">
            <v>0</v>
          </cell>
          <cell r="I274" t="str">
            <v>CNY</v>
          </cell>
          <cell r="J274" t="str">
            <v/>
          </cell>
          <cell r="K274" t="str">
            <v>Z1</v>
          </cell>
          <cell r="L274" t="str">
            <v>3700</v>
          </cell>
        </row>
        <row r="275">
          <cell r="A275" t="str">
            <v>88000002</v>
          </cell>
          <cell r="B275" t="str">
            <v>C199</v>
          </cell>
          <cell r="C275" t="str">
            <v>10</v>
          </cell>
          <cell r="D275" t="str">
            <v>10</v>
          </cell>
          <cell r="E275" t="str">
            <v>100</v>
          </cell>
          <cell r="F275" t="str">
            <v>CPT</v>
          </cell>
          <cell r="G275" t="str">
            <v>Wuhu</v>
          </cell>
          <cell r="H275">
            <v>0</v>
          </cell>
          <cell r="I275" t="str">
            <v>CNY</v>
          </cell>
          <cell r="J275" t="str">
            <v/>
          </cell>
          <cell r="K275" t="str">
            <v/>
          </cell>
          <cell r="L275" t="str">
            <v/>
          </cell>
        </row>
        <row r="276">
          <cell r="A276" t="str">
            <v>88000003</v>
          </cell>
          <cell r="B276" t="str">
            <v>C199</v>
          </cell>
          <cell r="C276" t="str">
            <v>10</v>
          </cell>
          <cell r="D276" t="str">
            <v>10</v>
          </cell>
          <cell r="E276" t="str">
            <v>100</v>
          </cell>
          <cell r="F276" t="str">
            <v/>
          </cell>
          <cell r="G276" t="str">
            <v/>
          </cell>
          <cell r="H276">
            <v>0</v>
          </cell>
          <cell r="I276" t="str">
            <v>CNY</v>
          </cell>
          <cell r="J276" t="str">
            <v/>
          </cell>
          <cell r="K276" t="str">
            <v/>
          </cell>
          <cell r="L276" t="str">
            <v/>
          </cell>
        </row>
        <row r="277">
          <cell r="A277" t="str">
            <v>88000004</v>
          </cell>
          <cell r="B277" t="str">
            <v>C074</v>
          </cell>
          <cell r="C277" t="str">
            <v>10</v>
          </cell>
          <cell r="D277" t="str">
            <v>10</v>
          </cell>
          <cell r="E277" t="str">
            <v>100</v>
          </cell>
          <cell r="F277" t="str">
            <v/>
          </cell>
          <cell r="G277" t="str">
            <v/>
          </cell>
          <cell r="H277">
            <v>0</v>
          </cell>
          <cell r="I277" t="str">
            <v>KRW</v>
          </cell>
          <cell r="J277" t="str">
            <v/>
          </cell>
          <cell r="K277" t="str">
            <v/>
          </cell>
          <cell r="L277" t="str">
            <v/>
          </cell>
        </row>
        <row r="278">
          <cell r="A278" t="str">
            <v>88000005</v>
          </cell>
          <cell r="B278" t="str">
            <v>C199</v>
          </cell>
          <cell r="C278" t="str">
            <v>10</v>
          </cell>
          <cell r="D278" t="str">
            <v>10</v>
          </cell>
          <cell r="E278" t="str">
            <v>100</v>
          </cell>
          <cell r="F278" t="str">
            <v/>
          </cell>
          <cell r="G278" t="str">
            <v/>
          </cell>
          <cell r="H278">
            <v>0</v>
          </cell>
          <cell r="I278" t="str">
            <v>CNY</v>
          </cell>
          <cell r="J278" t="str">
            <v/>
          </cell>
          <cell r="K278" t="str">
            <v/>
          </cell>
          <cell r="L278" t="str">
            <v/>
          </cell>
        </row>
        <row r="279">
          <cell r="A279" t="str">
            <v>88000006</v>
          </cell>
          <cell r="B279" t="str">
            <v>C074</v>
          </cell>
          <cell r="C279" t="str">
            <v>10</v>
          </cell>
          <cell r="D279" t="str">
            <v>10</v>
          </cell>
          <cell r="E279" t="str">
            <v>100</v>
          </cell>
          <cell r="F279" t="str">
            <v/>
          </cell>
          <cell r="G279" t="str">
            <v/>
          </cell>
          <cell r="H279">
            <v>0</v>
          </cell>
          <cell r="I279" t="str">
            <v>KRW</v>
          </cell>
          <cell r="J279" t="str">
            <v/>
          </cell>
          <cell r="K279" t="str">
            <v/>
          </cell>
          <cell r="L279" t="str">
            <v/>
          </cell>
        </row>
        <row r="280">
          <cell r="A280" t="str">
            <v>88000006</v>
          </cell>
          <cell r="B280" t="str">
            <v>C199</v>
          </cell>
          <cell r="C280" t="str">
            <v>10</v>
          </cell>
          <cell r="D280" t="str">
            <v>10</v>
          </cell>
          <cell r="E280" t="str">
            <v>100</v>
          </cell>
          <cell r="F280" t="str">
            <v>FCA</v>
          </cell>
          <cell r="G280" t="str">
            <v/>
          </cell>
          <cell r="H280">
            <v>0</v>
          </cell>
          <cell r="I280" t="str">
            <v>CNY</v>
          </cell>
          <cell r="J280" t="str">
            <v/>
          </cell>
          <cell r="K280" t="str">
            <v/>
          </cell>
          <cell r="L280" t="str">
            <v/>
          </cell>
        </row>
        <row r="281">
          <cell r="A281" t="str">
            <v>88001570</v>
          </cell>
          <cell r="B281" t="str">
            <v>C199</v>
          </cell>
          <cell r="C281" t="str">
            <v>10</v>
          </cell>
          <cell r="D281" t="str">
            <v>10</v>
          </cell>
          <cell r="E281" t="str">
            <v>100</v>
          </cell>
          <cell r="F281" t="str">
            <v/>
          </cell>
          <cell r="G281" t="str">
            <v/>
          </cell>
          <cell r="H281">
            <v>0</v>
          </cell>
          <cell r="I281" t="str">
            <v>CNY</v>
          </cell>
          <cell r="J281" t="str">
            <v/>
          </cell>
          <cell r="K281" t="str">
            <v/>
          </cell>
          <cell r="L281" t="str">
            <v/>
          </cell>
        </row>
        <row r="282">
          <cell r="A282" t="str">
            <v>88003589</v>
          </cell>
          <cell r="B282" t="str">
            <v>C074</v>
          </cell>
          <cell r="C282" t="str">
            <v>10</v>
          </cell>
          <cell r="D282" t="str">
            <v>10</v>
          </cell>
          <cell r="E282" t="str">
            <v>100</v>
          </cell>
          <cell r="F282" t="str">
            <v/>
          </cell>
          <cell r="G282" t="str">
            <v/>
          </cell>
          <cell r="H282">
            <v>0</v>
          </cell>
          <cell r="I282" t="str">
            <v>KRW</v>
          </cell>
          <cell r="J282" t="str">
            <v/>
          </cell>
          <cell r="K282" t="str">
            <v/>
          </cell>
          <cell r="L282" t="str">
            <v/>
          </cell>
        </row>
        <row r="283">
          <cell r="A283" t="str">
            <v>88018810</v>
          </cell>
          <cell r="B283" t="str">
            <v>C199</v>
          </cell>
          <cell r="C283" t="str">
            <v>10</v>
          </cell>
          <cell r="D283" t="str">
            <v>10</v>
          </cell>
          <cell r="E283" t="str">
            <v>100</v>
          </cell>
          <cell r="F283" t="str">
            <v/>
          </cell>
          <cell r="G283" t="str">
            <v/>
          </cell>
          <cell r="H283">
            <v>0</v>
          </cell>
          <cell r="I283" t="str">
            <v>CNY</v>
          </cell>
          <cell r="J283" t="str">
            <v/>
          </cell>
          <cell r="K283" t="str">
            <v/>
          </cell>
          <cell r="L283" t="str">
            <v/>
          </cell>
        </row>
        <row r="284">
          <cell r="A284" t="str">
            <v>88031137</v>
          </cell>
          <cell r="B284" t="str">
            <v>C199</v>
          </cell>
          <cell r="C284" t="str">
            <v>10</v>
          </cell>
          <cell r="D284" t="str">
            <v>10</v>
          </cell>
          <cell r="E284" t="str">
            <v>100</v>
          </cell>
          <cell r="F284" t="str">
            <v/>
          </cell>
          <cell r="G284" t="str">
            <v/>
          </cell>
          <cell r="H284">
            <v>0</v>
          </cell>
          <cell r="I284" t="str">
            <v>CNY</v>
          </cell>
          <cell r="J284" t="str">
            <v/>
          </cell>
          <cell r="K284" t="str">
            <v/>
          </cell>
          <cell r="L284" t="str">
            <v/>
          </cell>
        </row>
        <row r="285">
          <cell r="A285" t="str">
            <v>88060119</v>
          </cell>
          <cell r="B285" t="str">
            <v>C199</v>
          </cell>
          <cell r="C285" t="str">
            <v>10</v>
          </cell>
          <cell r="D285" t="str">
            <v>10</v>
          </cell>
          <cell r="E285" t="str">
            <v>100</v>
          </cell>
          <cell r="F285" t="str">
            <v/>
          </cell>
          <cell r="G285" t="str">
            <v/>
          </cell>
          <cell r="H285">
            <v>0</v>
          </cell>
          <cell r="I285" t="str">
            <v>CNY</v>
          </cell>
          <cell r="J285" t="str">
            <v/>
          </cell>
          <cell r="K285" t="str">
            <v/>
          </cell>
          <cell r="L285" t="str">
            <v/>
          </cell>
        </row>
        <row r="286">
          <cell r="A286" t="str">
            <v>88225144</v>
          </cell>
          <cell r="B286" t="str">
            <v>C199</v>
          </cell>
          <cell r="C286" t="str">
            <v>10</v>
          </cell>
          <cell r="D286" t="str">
            <v>10</v>
          </cell>
          <cell r="E286" t="str">
            <v>100</v>
          </cell>
          <cell r="F286" t="str">
            <v/>
          </cell>
          <cell r="G286" t="str">
            <v/>
          </cell>
          <cell r="H286">
            <v>0</v>
          </cell>
          <cell r="I286" t="str">
            <v>CNY</v>
          </cell>
          <cell r="J286" t="str">
            <v/>
          </cell>
          <cell r="K286" t="str">
            <v/>
          </cell>
          <cell r="L286" t="str">
            <v/>
          </cell>
        </row>
        <row r="287">
          <cell r="A287" t="str">
            <v>88245333</v>
          </cell>
          <cell r="B287" t="str">
            <v>C042</v>
          </cell>
          <cell r="C287" t="str">
            <v>10</v>
          </cell>
          <cell r="D287" t="str">
            <v>10</v>
          </cell>
          <cell r="E287" t="str">
            <v>100</v>
          </cell>
          <cell r="F287" t="str">
            <v/>
          </cell>
          <cell r="G287" t="str">
            <v/>
          </cell>
          <cell r="H287">
            <v>0</v>
          </cell>
          <cell r="I287" t="str">
            <v>INR</v>
          </cell>
          <cell r="J287" t="str">
            <v/>
          </cell>
          <cell r="K287" t="str">
            <v/>
          </cell>
          <cell r="L287" t="str">
            <v/>
          </cell>
        </row>
        <row r="288">
          <cell r="A288" t="str">
            <v>88251420</v>
          </cell>
          <cell r="B288" t="str">
            <v>C199</v>
          </cell>
          <cell r="C288" t="str">
            <v>10</v>
          </cell>
          <cell r="D288" t="str">
            <v>10</v>
          </cell>
          <cell r="E288" t="str">
            <v>100</v>
          </cell>
          <cell r="F288" t="str">
            <v/>
          </cell>
          <cell r="G288" t="str">
            <v/>
          </cell>
          <cell r="H288">
            <v>0</v>
          </cell>
          <cell r="I288" t="str">
            <v>CNY</v>
          </cell>
          <cell r="J288" t="str">
            <v/>
          </cell>
          <cell r="K288" t="str">
            <v/>
          </cell>
          <cell r="L288" t="str">
            <v/>
          </cell>
        </row>
        <row r="289">
          <cell r="A289" t="str">
            <v>88252126</v>
          </cell>
          <cell r="B289" t="str">
            <v>C199</v>
          </cell>
          <cell r="C289" t="str">
            <v>10</v>
          </cell>
          <cell r="D289" t="str">
            <v>10</v>
          </cell>
          <cell r="E289" t="str">
            <v>100</v>
          </cell>
          <cell r="F289" t="str">
            <v/>
          </cell>
          <cell r="G289" t="str">
            <v/>
          </cell>
          <cell r="H289">
            <v>0</v>
          </cell>
          <cell r="I289" t="str">
            <v>CNY</v>
          </cell>
          <cell r="J289" t="str">
            <v/>
          </cell>
          <cell r="K289" t="str">
            <v/>
          </cell>
          <cell r="L289" t="str">
            <v/>
          </cell>
        </row>
        <row r="290">
          <cell r="A290" t="str">
            <v>88252544</v>
          </cell>
          <cell r="B290" t="str">
            <v>C199</v>
          </cell>
          <cell r="C290" t="str">
            <v>10</v>
          </cell>
          <cell r="D290" t="str">
            <v>10</v>
          </cell>
          <cell r="E290" t="str">
            <v>100</v>
          </cell>
          <cell r="F290" t="str">
            <v/>
          </cell>
          <cell r="G290" t="str">
            <v/>
          </cell>
          <cell r="H290">
            <v>0</v>
          </cell>
          <cell r="I290" t="str">
            <v>CNY</v>
          </cell>
          <cell r="J290" t="str">
            <v/>
          </cell>
          <cell r="K290" t="str">
            <v/>
          </cell>
          <cell r="L290" t="str">
            <v/>
          </cell>
        </row>
        <row r="291">
          <cell r="A291" t="str">
            <v>88259160</v>
          </cell>
          <cell r="B291" t="str">
            <v>C199</v>
          </cell>
          <cell r="C291" t="str">
            <v>10</v>
          </cell>
          <cell r="D291" t="str">
            <v>10</v>
          </cell>
          <cell r="E291" t="str">
            <v>100</v>
          </cell>
          <cell r="F291" t="str">
            <v/>
          </cell>
          <cell r="G291" t="str">
            <v/>
          </cell>
          <cell r="H291">
            <v>0</v>
          </cell>
          <cell r="I291" t="str">
            <v>CNY</v>
          </cell>
          <cell r="J291" t="str">
            <v/>
          </cell>
          <cell r="K291" t="str">
            <v/>
          </cell>
          <cell r="L291" t="str">
            <v/>
          </cell>
        </row>
        <row r="292">
          <cell r="A292" t="str">
            <v>88267682</v>
          </cell>
          <cell r="B292" t="str">
            <v>C199</v>
          </cell>
          <cell r="C292" t="str">
            <v>10</v>
          </cell>
          <cell r="D292" t="str">
            <v>10</v>
          </cell>
          <cell r="E292" t="str">
            <v>100</v>
          </cell>
          <cell r="F292" t="str">
            <v/>
          </cell>
          <cell r="G292" t="str">
            <v/>
          </cell>
          <cell r="H292">
            <v>0</v>
          </cell>
          <cell r="I292" t="str">
            <v>CNY</v>
          </cell>
          <cell r="J292" t="str">
            <v/>
          </cell>
          <cell r="K292" t="str">
            <v/>
          </cell>
          <cell r="L292" t="str">
            <v/>
          </cell>
        </row>
        <row r="293">
          <cell r="A293" t="str">
            <v>88270078</v>
          </cell>
          <cell r="B293" t="str">
            <v>C042</v>
          </cell>
          <cell r="C293" t="str">
            <v>10</v>
          </cell>
          <cell r="D293" t="str">
            <v>10</v>
          </cell>
          <cell r="E293" t="str">
            <v>100</v>
          </cell>
          <cell r="F293" t="str">
            <v/>
          </cell>
          <cell r="G293" t="str">
            <v/>
          </cell>
          <cell r="H293">
            <v>0</v>
          </cell>
          <cell r="I293" t="str">
            <v>INR</v>
          </cell>
          <cell r="J293" t="str">
            <v/>
          </cell>
          <cell r="K293" t="str">
            <v/>
          </cell>
          <cell r="L293" t="str">
            <v/>
          </cell>
        </row>
        <row r="294">
          <cell r="A294" t="str">
            <v>88270516</v>
          </cell>
          <cell r="B294" t="str">
            <v>C042</v>
          </cell>
          <cell r="C294" t="str">
            <v>10</v>
          </cell>
          <cell r="D294" t="str">
            <v>10</v>
          </cell>
          <cell r="E294" t="str">
            <v>100</v>
          </cell>
          <cell r="F294" t="str">
            <v/>
          </cell>
          <cell r="G294" t="str">
            <v/>
          </cell>
          <cell r="H294">
            <v>0</v>
          </cell>
          <cell r="I294" t="str">
            <v>INR</v>
          </cell>
          <cell r="J294" t="str">
            <v/>
          </cell>
          <cell r="K294" t="str">
            <v/>
          </cell>
          <cell r="L294" t="str">
            <v/>
          </cell>
        </row>
        <row r="295">
          <cell r="A295" t="str">
            <v>88270712</v>
          </cell>
          <cell r="B295" t="str">
            <v>C042</v>
          </cell>
          <cell r="C295" t="str">
            <v>10</v>
          </cell>
          <cell r="D295" t="str">
            <v>10</v>
          </cell>
          <cell r="E295" t="str">
            <v>100</v>
          </cell>
          <cell r="F295" t="str">
            <v/>
          </cell>
          <cell r="G295" t="str">
            <v/>
          </cell>
          <cell r="H295">
            <v>0</v>
          </cell>
          <cell r="I295" t="str">
            <v>INR</v>
          </cell>
          <cell r="J295" t="str">
            <v/>
          </cell>
          <cell r="K295" t="str">
            <v/>
          </cell>
          <cell r="L295" t="str">
            <v/>
          </cell>
        </row>
        <row r="296">
          <cell r="A296" t="str">
            <v>88271180</v>
          </cell>
          <cell r="B296" t="str">
            <v>C042</v>
          </cell>
          <cell r="C296" t="str">
            <v>10</v>
          </cell>
          <cell r="D296" t="str">
            <v>10</v>
          </cell>
          <cell r="E296" t="str">
            <v>100</v>
          </cell>
          <cell r="F296" t="str">
            <v/>
          </cell>
          <cell r="G296" t="str">
            <v/>
          </cell>
          <cell r="H296">
            <v>0</v>
          </cell>
          <cell r="I296" t="str">
            <v>INR</v>
          </cell>
          <cell r="J296" t="str">
            <v/>
          </cell>
          <cell r="K296" t="str">
            <v/>
          </cell>
          <cell r="L296" t="str">
            <v/>
          </cell>
        </row>
        <row r="297">
          <cell r="A297" t="str">
            <v>88271672</v>
          </cell>
          <cell r="B297" t="str">
            <v>C042</v>
          </cell>
          <cell r="C297" t="str">
            <v>10</v>
          </cell>
          <cell r="D297" t="str">
            <v>10</v>
          </cell>
          <cell r="E297" t="str">
            <v>100</v>
          </cell>
          <cell r="F297" t="str">
            <v/>
          </cell>
          <cell r="G297" t="str">
            <v/>
          </cell>
          <cell r="H297">
            <v>0</v>
          </cell>
          <cell r="I297" t="str">
            <v>INR</v>
          </cell>
          <cell r="J297" t="str">
            <v/>
          </cell>
          <cell r="K297" t="str">
            <v/>
          </cell>
          <cell r="L297" t="str">
            <v/>
          </cell>
        </row>
        <row r="298">
          <cell r="A298" t="str">
            <v>88275532</v>
          </cell>
          <cell r="B298" t="str">
            <v>C199</v>
          </cell>
          <cell r="C298" t="str">
            <v>10</v>
          </cell>
          <cell r="D298" t="str">
            <v>10</v>
          </cell>
          <cell r="E298" t="str">
            <v>100</v>
          </cell>
          <cell r="F298" t="str">
            <v/>
          </cell>
          <cell r="G298" t="str">
            <v/>
          </cell>
          <cell r="H298">
            <v>0</v>
          </cell>
          <cell r="I298" t="str">
            <v>CNY</v>
          </cell>
          <cell r="J298" t="str">
            <v/>
          </cell>
          <cell r="K298" t="str">
            <v/>
          </cell>
          <cell r="L298" t="str">
            <v/>
          </cell>
        </row>
        <row r="299">
          <cell r="A299" t="str">
            <v>88278106</v>
          </cell>
          <cell r="B299" t="str">
            <v>C199</v>
          </cell>
          <cell r="C299" t="str">
            <v>10</v>
          </cell>
          <cell r="D299" t="str">
            <v>10</v>
          </cell>
          <cell r="E299" t="str">
            <v>100</v>
          </cell>
          <cell r="F299" t="str">
            <v/>
          </cell>
          <cell r="G299" t="str">
            <v/>
          </cell>
          <cell r="H299">
            <v>0</v>
          </cell>
          <cell r="I299" t="str">
            <v>CNY</v>
          </cell>
          <cell r="J299" t="str">
            <v/>
          </cell>
          <cell r="K299" t="str">
            <v/>
          </cell>
          <cell r="L299" t="str">
            <v/>
          </cell>
        </row>
        <row r="300">
          <cell r="A300" t="str">
            <v>88279202</v>
          </cell>
          <cell r="B300" t="str">
            <v>C199</v>
          </cell>
          <cell r="C300" t="str">
            <v>10</v>
          </cell>
          <cell r="D300" t="str">
            <v>10</v>
          </cell>
          <cell r="E300" t="str">
            <v>100</v>
          </cell>
          <cell r="F300" t="str">
            <v/>
          </cell>
          <cell r="G300" t="str">
            <v/>
          </cell>
          <cell r="H300">
            <v>0</v>
          </cell>
          <cell r="I300" t="str">
            <v>CNY</v>
          </cell>
          <cell r="J300" t="str">
            <v/>
          </cell>
          <cell r="K300" t="str">
            <v/>
          </cell>
          <cell r="L300" t="str">
            <v/>
          </cell>
        </row>
        <row r="301">
          <cell r="A301" t="str">
            <v>88279549</v>
          </cell>
          <cell r="B301" t="str">
            <v>C199</v>
          </cell>
          <cell r="C301" t="str">
            <v>10</v>
          </cell>
          <cell r="D301" t="str">
            <v>10</v>
          </cell>
          <cell r="E301" t="str">
            <v>100</v>
          </cell>
          <cell r="F301" t="str">
            <v/>
          </cell>
          <cell r="G301" t="str">
            <v/>
          </cell>
          <cell r="H301">
            <v>0</v>
          </cell>
          <cell r="I301" t="str">
            <v>CNY</v>
          </cell>
          <cell r="J301" t="str">
            <v/>
          </cell>
          <cell r="K301" t="str">
            <v/>
          </cell>
          <cell r="L301" t="str">
            <v/>
          </cell>
        </row>
        <row r="302">
          <cell r="A302" t="str">
            <v>88280085</v>
          </cell>
          <cell r="B302" t="str">
            <v>C199</v>
          </cell>
          <cell r="C302" t="str">
            <v>10</v>
          </cell>
          <cell r="D302" t="str">
            <v>10</v>
          </cell>
          <cell r="E302" t="str">
            <v>100</v>
          </cell>
          <cell r="F302" t="str">
            <v/>
          </cell>
          <cell r="G302" t="str">
            <v/>
          </cell>
          <cell r="H302">
            <v>0</v>
          </cell>
          <cell r="I302" t="str">
            <v>CNY</v>
          </cell>
          <cell r="J302" t="str">
            <v/>
          </cell>
          <cell r="K302" t="str">
            <v/>
          </cell>
          <cell r="L302" t="str">
            <v/>
          </cell>
        </row>
        <row r="303">
          <cell r="A303" t="str">
            <v>88281886</v>
          </cell>
          <cell r="B303" t="str">
            <v>C199</v>
          </cell>
          <cell r="C303" t="str">
            <v>10</v>
          </cell>
          <cell r="D303" t="str">
            <v>10</v>
          </cell>
          <cell r="E303" t="str">
            <v>100</v>
          </cell>
          <cell r="F303" t="str">
            <v/>
          </cell>
          <cell r="G303" t="str">
            <v/>
          </cell>
          <cell r="H303">
            <v>0</v>
          </cell>
          <cell r="I303" t="str">
            <v>CNY</v>
          </cell>
          <cell r="J303" t="str">
            <v/>
          </cell>
          <cell r="K303" t="str">
            <v/>
          </cell>
          <cell r="L303" t="str">
            <v/>
          </cell>
        </row>
        <row r="304">
          <cell r="A304" t="str">
            <v>88283777</v>
          </cell>
          <cell r="B304" t="str">
            <v>C042</v>
          </cell>
          <cell r="C304" t="str">
            <v>10</v>
          </cell>
          <cell r="D304" t="str">
            <v>10</v>
          </cell>
          <cell r="E304" t="str">
            <v>100</v>
          </cell>
          <cell r="F304" t="str">
            <v/>
          </cell>
          <cell r="G304" t="str">
            <v/>
          </cell>
          <cell r="H304">
            <v>0</v>
          </cell>
          <cell r="I304" t="str">
            <v>INR</v>
          </cell>
          <cell r="J304" t="str">
            <v/>
          </cell>
          <cell r="K304" t="str">
            <v/>
          </cell>
          <cell r="L304" t="str">
            <v/>
          </cell>
        </row>
        <row r="305">
          <cell r="A305" t="str">
            <v>88285890</v>
          </cell>
          <cell r="B305" t="str">
            <v>C199</v>
          </cell>
          <cell r="C305" t="str">
            <v>10</v>
          </cell>
          <cell r="D305" t="str">
            <v>10</v>
          </cell>
          <cell r="E305" t="str">
            <v>100</v>
          </cell>
          <cell r="F305" t="str">
            <v/>
          </cell>
          <cell r="G305" t="str">
            <v/>
          </cell>
          <cell r="H305">
            <v>0</v>
          </cell>
          <cell r="I305" t="str">
            <v>CNY</v>
          </cell>
          <cell r="J305" t="str">
            <v/>
          </cell>
          <cell r="K305" t="str">
            <v/>
          </cell>
          <cell r="L305" t="str">
            <v/>
          </cell>
        </row>
        <row r="306">
          <cell r="A306" t="str">
            <v>88287280</v>
          </cell>
          <cell r="B306" t="str">
            <v>C199</v>
          </cell>
          <cell r="C306" t="str">
            <v>10</v>
          </cell>
          <cell r="D306" t="str">
            <v>10</v>
          </cell>
          <cell r="E306" t="str">
            <v>100</v>
          </cell>
          <cell r="F306" t="str">
            <v/>
          </cell>
          <cell r="G306" t="str">
            <v/>
          </cell>
          <cell r="H306">
            <v>0</v>
          </cell>
          <cell r="I306" t="str">
            <v>CNY</v>
          </cell>
          <cell r="J306" t="str">
            <v/>
          </cell>
          <cell r="K306" t="str">
            <v/>
          </cell>
          <cell r="L306" t="str">
            <v/>
          </cell>
        </row>
        <row r="307">
          <cell r="A307" t="str">
            <v>88288556</v>
          </cell>
          <cell r="B307" t="str">
            <v>C042</v>
          </cell>
          <cell r="C307" t="str">
            <v>10</v>
          </cell>
          <cell r="D307" t="str">
            <v>10</v>
          </cell>
          <cell r="E307" t="str">
            <v>100</v>
          </cell>
          <cell r="F307" t="str">
            <v/>
          </cell>
          <cell r="G307" t="str">
            <v/>
          </cell>
          <cell r="H307">
            <v>0</v>
          </cell>
          <cell r="I307" t="str">
            <v>INR</v>
          </cell>
          <cell r="J307" t="str">
            <v/>
          </cell>
          <cell r="K307" t="str">
            <v/>
          </cell>
          <cell r="L307" t="str">
            <v/>
          </cell>
        </row>
        <row r="308">
          <cell r="A308" t="str">
            <v>88290081</v>
          </cell>
          <cell r="B308" t="str">
            <v>C199</v>
          </cell>
          <cell r="C308" t="str">
            <v>10</v>
          </cell>
          <cell r="D308" t="str">
            <v>10</v>
          </cell>
          <cell r="E308" t="str">
            <v>100</v>
          </cell>
          <cell r="F308" t="str">
            <v/>
          </cell>
          <cell r="G308" t="str">
            <v/>
          </cell>
          <cell r="H308">
            <v>0</v>
          </cell>
          <cell r="I308" t="str">
            <v>CNY</v>
          </cell>
          <cell r="J308" t="str">
            <v/>
          </cell>
          <cell r="K308" t="str">
            <v/>
          </cell>
          <cell r="L308" t="str">
            <v/>
          </cell>
        </row>
        <row r="309">
          <cell r="A309" t="str">
            <v>88291041</v>
          </cell>
          <cell r="B309" t="str">
            <v>C199</v>
          </cell>
          <cell r="C309" t="str">
            <v>10</v>
          </cell>
          <cell r="D309" t="str">
            <v>10</v>
          </cell>
          <cell r="E309" t="str">
            <v>100</v>
          </cell>
          <cell r="F309" t="str">
            <v/>
          </cell>
          <cell r="G309" t="str">
            <v/>
          </cell>
          <cell r="H309">
            <v>0</v>
          </cell>
          <cell r="I309" t="str">
            <v>CNY</v>
          </cell>
          <cell r="J309" t="str">
            <v/>
          </cell>
          <cell r="K309" t="str">
            <v/>
          </cell>
          <cell r="L309" t="str">
            <v/>
          </cell>
        </row>
        <row r="310">
          <cell r="A310" t="str">
            <v>88291614</v>
          </cell>
          <cell r="B310" t="str">
            <v>C199</v>
          </cell>
          <cell r="C310" t="str">
            <v>10</v>
          </cell>
          <cell r="D310" t="str">
            <v>10</v>
          </cell>
          <cell r="E310" t="str">
            <v>100</v>
          </cell>
          <cell r="F310" t="str">
            <v/>
          </cell>
          <cell r="G310" t="str">
            <v/>
          </cell>
          <cell r="H310">
            <v>0</v>
          </cell>
          <cell r="I310" t="str">
            <v>CNY</v>
          </cell>
          <cell r="J310" t="str">
            <v/>
          </cell>
          <cell r="K310" t="str">
            <v/>
          </cell>
          <cell r="L310" t="str">
            <v/>
          </cell>
        </row>
        <row r="311">
          <cell r="A311" t="str">
            <v>88293835</v>
          </cell>
          <cell r="B311" t="str">
            <v>C042</v>
          </cell>
          <cell r="C311" t="str">
            <v>10</v>
          </cell>
          <cell r="D311" t="str">
            <v>10</v>
          </cell>
          <cell r="E311" t="str">
            <v>100</v>
          </cell>
          <cell r="F311" t="str">
            <v/>
          </cell>
          <cell r="G311" t="str">
            <v/>
          </cell>
          <cell r="H311">
            <v>0</v>
          </cell>
          <cell r="I311" t="str">
            <v>INR</v>
          </cell>
          <cell r="J311" t="str">
            <v/>
          </cell>
          <cell r="K311" t="str">
            <v/>
          </cell>
          <cell r="L311" t="str">
            <v/>
          </cell>
        </row>
        <row r="312">
          <cell r="A312" t="str">
            <v>88294836</v>
          </cell>
          <cell r="B312" t="str">
            <v>C199</v>
          </cell>
          <cell r="C312" t="str">
            <v>10</v>
          </cell>
          <cell r="D312" t="str">
            <v>10</v>
          </cell>
          <cell r="E312" t="str">
            <v>100</v>
          </cell>
          <cell r="F312" t="str">
            <v/>
          </cell>
          <cell r="G312" t="str">
            <v/>
          </cell>
          <cell r="H312">
            <v>0</v>
          </cell>
          <cell r="I312" t="str">
            <v>CNY</v>
          </cell>
          <cell r="J312" t="str">
            <v/>
          </cell>
          <cell r="K312" t="str">
            <v/>
          </cell>
          <cell r="L312" t="str">
            <v/>
          </cell>
        </row>
        <row r="313">
          <cell r="A313" t="str">
            <v>88299877</v>
          </cell>
          <cell r="B313" t="str">
            <v>C042</v>
          </cell>
          <cell r="C313" t="str">
            <v>10</v>
          </cell>
          <cell r="D313" t="str">
            <v>10</v>
          </cell>
          <cell r="E313" t="str">
            <v>100</v>
          </cell>
          <cell r="F313" t="str">
            <v/>
          </cell>
          <cell r="G313" t="str">
            <v/>
          </cell>
          <cell r="H313">
            <v>0</v>
          </cell>
          <cell r="I313" t="str">
            <v>INR</v>
          </cell>
          <cell r="J313" t="str">
            <v/>
          </cell>
          <cell r="K313" t="str">
            <v/>
          </cell>
          <cell r="L313" t="str">
            <v/>
          </cell>
        </row>
        <row r="314">
          <cell r="A314" t="str">
            <v>88339324</v>
          </cell>
          <cell r="B314" t="str">
            <v>C199</v>
          </cell>
          <cell r="C314" t="str">
            <v>10</v>
          </cell>
          <cell r="D314" t="str">
            <v>10</v>
          </cell>
          <cell r="E314" t="str">
            <v>100</v>
          </cell>
          <cell r="F314" t="str">
            <v/>
          </cell>
          <cell r="G314" t="str">
            <v/>
          </cell>
          <cell r="H314">
            <v>0</v>
          </cell>
          <cell r="I314" t="str">
            <v>CNY</v>
          </cell>
          <cell r="J314" t="str">
            <v/>
          </cell>
          <cell r="K314" t="str">
            <v/>
          </cell>
          <cell r="L314" t="str">
            <v/>
          </cell>
        </row>
        <row r="315">
          <cell r="A315" t="str">
            <v>88340964</v>
          </cell>
          <cell r="B315" t="str">
            <v>C199</v>
          </cell>
          <cell r="C315" t="str">
            <v>10</v>
          </cell>
          <cell r="D315" t="str">
            <v>10</v>
          </cell>
          <cell r="E315" t="str">
            <v>100</v>
          </cell>
          <cell r="F315" t="str">
            <v/>
          </cell>
          <cell r="G315" t="str">
            <v/>
          </cell>
          <cell r="H315">
            <v>0</v>
          </cell>
          <cell r="I315" t="str">
            <v>CNY</v>
          </cell>
          <cell r="J315" t="str">
            <v/>
          </cell>
          <cell r="K315" t="str">
            <v/>
          </cell>
          <cell r="L315" t="str">
            <v/>
          </cell>
        </row>
        <row r="316">
          <cell r="A316" t="str">
            <v>88342758</v>
          </cell>
          <cell r="B316" t="str">
            <v>C199</v>
          </cell>
          <cell r="C316" t="str">
            <v>10</v>
          </cell>
          <cell r="D316" t="str">
            <v>10</v>
          </cell>
          <cell r="E316" t="str">
            <v>100</v>
          </cell>
          <cell r="F316" t="str">
            <v/>
          </cell>
          <cell r="G316" t="str">
            <v/>
          </cell>
          <cell r="H316">
            <v>0</v>
          </cell>
          <cell r="I316" t="str">
            <v>CNY</v>
          </cell>
          <cell r="J316" t="str">
            <v/>
          </cell>
          <cell r="K316" t="str">
            <v/>
          </cell>
          <cell r="L316" t="str">
            <v/>
          </cell>
        </row>
        <row r="317">
          <cell r="A317" t="str">
            <v>88342943</v>
          </cell>
          <cell r="B317" t="str">
            <v>C199</v>
          </cell>
          <cell r="C317" t="str">
            <v>10</v>
          </cell>
          <cell r="D317" t="str">
            <v>10</v>
          </cell>
          <cell r="E317" t="str">
            <v>100</v>
          </cell>
          <cell r="F317" t="str">
            <v/>
          </cell>
          <cell r="G317" t="str">
            <v/>
          </cell>
          <cell r="H317">
            <v>0</v>
          </cell>
          <cell r="I317" t="str">
            <v>CNY</v>
          </cell>
          <cell r="J317" t="str">
            <v/>
          </cell>
          <cell r="K317" t="str">
            <v/>
          </cell>
          <cell r="L317" t="str">
            <v/>
          </cell>
        </row>
        <row r="318">
          <cell r="A318" t="str">
            <v>88343173</v>
          </cell>
          <cell r="B318" t="str">
            <v>C074</v>
          </cell>
          <cell r="C318" t="str">
            <v>10</v>
          </cell>
          <cell r="D318" t="str">
            <v>10</v>
          </cell>
          <cell r="E318" t="str">
            <v>100</v>
          </cell>
          <cell r="F318" t="str">
            <v/>
          </cell>
          <cell r="G318" t="str">
            <v/>
          </cell>
          <cell r="H318">
            <v>0</v>
          </cell>
          <cell r="I318" t="str">
            <v>KRW</v>
          </cell>
          <cell r="J318" t="str">
            <v/>
          </cell>
          <cell r="K318" t="str">
            <v/>
          </cell>
          <cell r="L318" t="str">
            <v/>
          </cell>
        </row>
        <row r="319">
          <cell r="A319" t="str">
            <v>88343214</v>
          </cell>
          <cell r="B319" t="str">
            <v>C074</v>
          </cell>
          <cell r="C319" t="str">
            <v>10</v>
          </cell>
          <cell r="D319" t="str">
            <v>10</v>
          </cell>
          <cell r="E319" t="str">
            <v>100</v>
          </cell>
          <cell r="F319" t="str">
            <v/>
          </cell>
          <cell r="G319" t="str">
            <v/>
          </cell>
          <cell r="H319">
            <v>0</v>
          </cell>
          <cell r="I319" t="str">
            <v>KRW</v>
          </cell>
          <cell r="J319" t="str">
            <v/>
          </cell>
          <cell r="K319" t="str">
            <v/>
          </cell>
          <cell r="L319" t="str">
            <v/>
          </cell>
        </row>
        <row r="320">
          <cell r="A320" t="str">
            <v>88344375</v>
          </cell>
          <cell r="B320" t="str">
            <v>C199</v>
          </cell>
          <cell r="C320" t="str">
            <v>10</v>
          </cell>
          <cell r="D320" t="str">
            <v>10</v>
          </cell>
          <cell r="E320" t="str">
            <v>100</v>
          </cell>
          <cell r="F320" t="str">
            <v/>
          </cell>
          <cell r="G320" t="str">
            <v/>
          </cell>
          <cell r="H320">
            <v>0</v>
          </cell>
          <cell r="I320" t="str">
            <v>CNY</v>
          </cell>
          <cell r="J320" t="str">
            <v/>
          </cell>
          <cell r="K320" t="str">
            <v/>
          </cell>
          <cell r="L320" t="str">
            <v/>
          </cell>
        </row>
        <row r="321">
          <cell r="A321" t="str">
            <v>88347060</v>
          </cell>
          <cell r="B321" t="str">
            <v>C199</v>
          </cell>
          <cell r="C321" t="str">
            <v>10</v>
          </cell>
          <cell r="D321" t="str">
            <v>10</v>
          </cell>
          <cell r="E321" t="str">
            <v>100</v>
          </cell>
          <cell r="F321" t="str">
            <v/>
          </cell>
          <cell r="G321" t="str">
            <v/>
          </cell>
          <cell r="H321">
            <v>0</v>
          </cell>
          <cell r="I321" t="str">
            <v>CNY</v>
          </cell>
          <cell r="J321" t="str">
            <v/>
          </cell>
          <cell r="K321" t="str">
            <v/>
          </cell>
          <cell r="L321" t="str">
            <v/>
          </cell>
        </row>
        <row r="322">
          <cell r="A322" t="str">
            <v>88354225</v>
          </cell>
          <cell r="B322" t="str">
            <v>C199</v>
          </cell>
          <cell r="C322" t="str">
            <v>10</v>
          </cell>
          <cell r="D322" t="str">
            <v>10</v>
          </cell>
          <cell r="E322" t="str">
            <v>100</v>
          </cell>
          <cell r="F322" t="str">
            <v/>
          </cell>
          <cell r="G322" t="str">
            <v/>
          </cell>
          <cell r="H322">
            <v>0</v>
          </cell>
          <cell r="I322" t="str">
            <v>CNY</v>
          </cell>
          <cell r="J322" t="str">
            <v/>
          </cell>
          <cell r="K322" t="str">
            <v/>
          </cell>
          <cell r="L322" t="str">
            <v/>
          </cell>
        </row>
        <row r="323">
          <cell r="A323" t="str">
            <v>88354862</v>
          </cell>
          <cell r="B323" t="str">
            <v>C042</v>
          </cell>
          <cell r="C323" t="str">
            <v>10</v>
          </cell>
          <cell r="D323" t="str">
            <v>10</v>
          </cell>
          <cell r="E323" t="str">
            <v>100</v>
          </cell>
          <cell r="F323" t="str">
            <v/>
          </cell>
          <cell r="G323" t="str">
            <v/>
          </cell>
          <cell r="H323">
            <v>0</v>
          </cell>
          <cell r="I323" t="str">
            <v>INR</v>
          </cell>
          <cell r="J323" t="str">
            <v/>
          </cell>
          <cell r="K323" t="str">
            <v/>
          </cell>
          <cell r="L323" t="str">
            <v/>
          </cell>
        </row>
        <row r="324">
          <cell r="A324" t="str">
            <v>88365366</v>
          </cell>
          <cell r="B324" t="str">
            <v>C199</v>
          </cell>
          <cell r="C324" t="str">
            <v>10</v>
          </cell>
          <cell r="D324" t="str">
            <v>10</v>
          </cell>
          <cell r="E324" t="str">
            <v>100</v>
          </cell>
          <cell r="F324" t="str">
            <v/>
          </cell>
          <cell r="G324" t="str">
            <v/>
          </cell>
          <cell r="H324">
            <v>0</v>
          </cell>
          <cell r="I324" t="str">
            <v>CNY</v>
          </cell>
          <cell r="J324" t="str">
            <v/>
          </cell>
          <cell r="K324" t="str">
            <v/>
          </cell>
          <cell r="L324" t="str">
            <v/>
          </cell>
        </row>
        <row r="325">
          <cell r="A325" t="str">
            <v>88372908</v>
          </cell>
          <cell r="B325" t="str">
            <v>C042</v>
          </cell>
          <cell r="C325" t="str">
            <v>10</v>
          </cell>
          <cell r="D325" t="str">
            <v>10</v>
          </cell>
          <cell r="E325" t="str">
            <v>100</v>
          </cell>
          <cell r="F325" t="str">
            <v/>
          </cell>
          <cell r="G325" t="str">
            <v/>
          </cell>
          <cell r="H325">
            <v>0</v>
          </cell>
          <cell r="I325" t="str">
            <v>INR</v>
          </cell>
          <cell r="J325" t="str">
            <v/>
          </cell>
          <cell r="K325" t="str">
            <v/>
          </cell>
          <cell r="L325" t="str">
            <v/>
          </cell>
        </row>
        <row r="326">
          <cell r="A326" t="str">
            <v>88628247</v>
          </cell>
          <cell r="B326" t="str">
            <v>C199</v>
          </cell>
          <cell r="C326" t="str">
            <v>10</v>
          </cell>
          <cell r="D326" t="str">
            <v>10</v>
          </cell>
          <cell r="E326" t="str">
            <v>100</v>
          </cell>
          <cell r="F326" t="str">
            <v/>
          </cell>
          <cell r="G326" t="str">
            <v/>
          </cell>
          <cell r="H326">
            <v>0</v>
          </cell>
          <cell r="I326" t="str">
            <v>CNY</v>
          </cell>
          <cell r="J326" t="str">
            <v/>
          </cell>
          <cell r="K326" t="str">
            <v/>
          </cell>
          <cell r="L326" t="str">
            <v/>
          </cell>
        </row>
        <row r="327">
          <cell r="A327" t="str">
            <v>100306508</v>
          </cell>
          <cell r="B327" t="str">
            <v>C199</v>
          </cell>
          <cell r="C327" t="str">
            <v>10</v>
          </cell>
          <cell r="D327" t="str">
            <v>10</v>
          </cell>
          <cell r="E327" t="str">
            <v>100</v>
          </cell>
          <cell r="F327" t="str">
            <v/>
          </cell>
          <cell r="G327" t="str">
            <v/>
          </cell>
          <cell r="H327">
            <v>0</v>
          </cell>
          <cell r="I327" t="str">
            <v>CNY</v>
          </cell>
          <cell r="J327" t="str">
            <v/>
          </cell>
          <cell r="K327" t="str">
            <v/>
          </cell>
          <cell r="L327" t="str">
            <v/>
          </cell>
        </row>
        <row r="328">
          <cell r="A328" t="str">
            <v>100361703</v>
          </cell>
          <cell r="B328" t="str">
            <v>C042</v>
          </cell>
          <cell r="C328" t="str">
            <v>10</v>
          </cell>
          <cell r="D328" t="str">
            <v>10</v>
          </cell>
          <cell r="E328" t="str">
            <v>100</v>
          </cell>
          <cell r="F328" t="str">
            <v/>
          </cell>
          <cell r="G328" t="str">
            <v/>
          </cell>
          <cell r="H328">
            <v>0</v>
          </cell>
          <cell r="I328" t="str">
            <v>INR</v>
          </cell>
          <cell r="J328" t="str">
            <v/>
          </cell>
          <cell r="K328" t="str">
            <v/>
          </cell>
          <cell r="L328" t="str">
            <v/>
          </cell>
        </row>
        <row r="329">
          <cell r="A329" t="str">
            <v>100508509</v>
          </cell>
          <cell r="B329" t="str">
            <v>C199</v>
          </cell>
          <cell r="C329" t="str">
            <v>10</v>
          </cell>
          <cell r="D329" t="str">
            <v>10</v>
          </cell>
          <cell r="E329" t="str">
            <v>100</v>
          </cell>
          <cell r="F329" t="str">
            <v/>
          </cell>
          <cell r="G329" t="str">
            <v/>
          </cell>
          <cell r="H329">
            <v>0</v>
          </cell>
          <cell r="I329" t="str">
            <v>CNY</v>
          </cell>
          <cell r="J329" t="str">
            <v/>
          </cell>
          <cell r="K329" t="str">
            <v/>
          </cell>
          <cell r="L329" t="str">
            <v/>
          </cell>
        </row>
        <row r="330">
          <cell r="A330" t="str">
            <v>102208605</v>
          </cell>
          <cell r="B330" t="str">
            <v>C199</v>
          </cell>
          <cell r="C330" t="str">
            <v>10</v>
          </cell>
          <cell r="D330" t="str">
            <v>10</v>
          </cell>
          <cell r="E330" t="str">
            <v>100</v>
          </cell>
          <cell r="F330" t="str">
            <v/>
          </cell>
          <cell r="G330" t="str">
            <v/>
          </cell>
          <cell r="H330">
            <v>0</v>
          </cell>
          <cell r="I330" t="str">
            <v>CNY</v>
          </cell>
          <cell r="J330" t="str">
            <v/>
          </cell>
          <cell r="K330" t="str">
            <v/>
          </cell>
          <cell r="L330" t="str">
            <v/>
          </cell>
        </row>
        <row r="331">
          <cell r="A331" t="str">
            <v>103007477</v>
          </cell>
          <cell r="B331" t="str">
            <v>C199</v>
          </cell>
          <cell r="C331" t="str">
            <v>10</v>
          </cell>
          <cell r="D331" t="str">
            <v>10</v>
          </cell>
          <cell r="E331" t="str">
            <v>100</v>
          </cell>
          <cell r="F331" t="str">
            <v/>
          </cell>
          <cell r="G331" t="str">
            <v/>
          </cell>
          <cell r="H331">
            <v>0</v>
          </cell>
          <cell r="I331" t="str">
            <v>CNY</v>
          </cell>
          <cell r="J331" t="str">
            <v/>
          </cell>
          <cell r="K331" t="str">
            <v/>
          </cell>
          <cell r="L331" t="str">
            <v/>
          </cell>
        </row>
        <row r="332">
          <cell r="A332" t="str">
            <v>103054902</v>
          </cell>
          <cell r="B332" t="str">
            <v>C199</v>
          </cell>
          <cell r="C332" t="str">
            <v>10</v>
          </cell>
          <cell r="D332" t="str">
            <v>10</v>
          </cell>
          <cell r="E332" t="str">
            <v>100</v>
          </cell>
          <cell r="F332" t="str">
            <v/>
          </cell>
          <cell r="G332" t="str">
            <v/>
          </cell>
          <cell r="H332">
            <v>0</v>
          </cell>
          <cell r="I332" t="str">
            <v>CNY</v>
          </cell>
          <cell r="J332" t="str">
            <v/>
          </cell>
          <cell r="K332" t="str">
            <v/>
          </cell>
          <cell r="L332" t="str">
            <v/>
          </cell>
        </row>
        <row r="333">
          <cell r="A333" t="str">
            <v>103054904</v>
          </cell>
          <cell r="B333" t="str">
            <v>C199</v>
          </cell>
          <cell r="C333" t="str">
            <v>10</v>
          </cell>
          <cell r="D333" t="str">
            <v>10</v>
          </cell>
          <cell r="E333" t="str">
            <v>100</v>
          </cell>
          <cell r="F333" t="str">
            <v/>
          </cell>
          <cell r="G333" t="str">
            <v/>
          </cell>
          <cell r="H333">
            <v>0</v>
          </cell>
          <cell r="I333" t="str">
            <v>CNY</v>
          </cell>
          <cell r="J333" t="str">
            <v/>
          </cell>
          <cell r="K333" t="str">
            <v/>
          </cell>
          <cell r="L333" t="str">
            <v/>
          </cell>
        </row>
        <row r="334">
          <cell r="A334" t="str">
            <v>103662904</v>
          </cell>
          <cell r="B334" t="str">
            <v>C199</v>
          </cell>
          <cell r="C334" t="str">
            <v>10</v>
          </cell>
          <cell r="D334" t="str">
            <v>10</v>
          </cell>
          <cell r="E334" t="str">
            <v>100</v>
          </cell>
          <cell r="F334" t="str">
            <v/>
          </cell>
          <cell r="G334" t="str">
            <v/>
          </cell>
          <cell r="H334">
            <v>0</v>
          </cell>
          <cell r="I334" t="str">
            <v>CNY</v>
          </cell>
          <cell r="J334" t="str">
            <v/>
          </cell>
          <cell r="K334" t="str">
            <v/>
          </cell>
          <cell r="L334" t="str">
            <v/>
          </cell>
        </row>
        <row r="335">
          <cell r="A335" t="str">
            <v>120006091</v>
          </cell>
          <cell r="B335" t="str">
            <v>C199</v>
          </cell>
          <cell r="C335" t="str">
            <v>10</v>
          </cell>
          <cell r="D335" t="str">
            <v>10</v>
          </cell>
          <cell r="E335" t="str">
            <v>100</v>
          </cell>
          <cell r="F335" t="str">
            <v/>
          </cell>
          <cell r="G335" t="str">
            <v/>
          </cell>
          <cell r="H335">
            <v>0</v>
          </cell>
          <cell r="I335" t="str">
            <v>CNY</v>
          </cell>
          <cell r="J335" t="str">
            <v/>
          </cell>
          <cell r="K335" t="str">
            <v/>
          </cell>
          <cell r="L335" t="str">
            <v/>
          </cell>
        </row>
        <row r="336">
          <cell r="A336" t="str">
            <v>120006098</v>
          </cell>
          <cell r="B336" t="str">
            <v>C199</v>
          </cell>
          <cell r="C336" t="str">
            <v>10</v>
          </cell>
          <cell r="D336" t="str">
            <v>10</v>
          </cell>
          <cell r="E336" t="str">
            <v>100</v>
          </cell>
          <cell r="F336" t="str">
            <v/>
          </cell>
          <cell r="G336" t="str">
            <v/>
          </cell>
          <cell r="H336">
            <v>0</v>
          </cell>
          <cell r="I336" t="str">
            <v>CNY</v>
          </cell>
          <cell r="J336" t="str">
            <v/>
          </cell>
          <cell r="K336" t="str">
            <v/>
          </cell>
          <cell r="L336" t="str">
            <v/>
          </cell>
        </row>
        <row r="337">
          <cell r="A337" t="str">
            <v>120006099</v>
          </cell>
          <cell r="B337" t="str">
            <v>C199</v>
          </cell>
          <cell r="C337" t="str">
            <v>10</v>
          </cell>
          <cell r="D337" t="str">
            <v>10</v>
          </cell>
          <cell r="E337" t="str">
            <v>100</v>
          </cell>
          <cell r="F337" t="str">
            <v/>
          </cell>
          <cell r="G337" t="str">
            <v/>
          </cell>
          <cell r="H337">
            <v>0</v>
          </cell>
          <cell r="I337" t="str">
            <v>CNY</v>
          </cell>
          <cell r="J337" t="str">
            <v/>
          </cell>
          <cell r="K337" t="str">
            <v/>
          </cell>
          <cell r="L337" t="str">
            <v/>
          </cell>
        </row>
        <row r="338">
          <cell r="A338" t="str">
            <v>120006102</v>
          </cell>
          <cell r="B338" t="str">
            <v>C199</v>
          </cell>
          <cell r="C338" t="str">
            <v>10</v>
          </cell>
          <cell r="D338" t="str">
            <v>10</v>
          </cell>
          <cell r="E338" t="str">
            <v>100</v>
          </cell>
          <cell r="F338" t="str">
            <v/>
          </cell>
          <cell r="G338" t="str">
            <v/>
          </cell>
          <cell r="H338">
            <v>0</v>
          </cell>
          <cell r="I338" t="str">
            <v>CNY</v>
          </cell>
          <cell r="J338" t="str">
            <v/>
          </cell>
          <cell r="K338" t="str">
            <v/>
          </cell>
          <cell r="L338" t="str">
            <v/>
          </cell>
        </row>
        <row r="339">
          <cell r="A339" t="str">
            <v>120006103</v>
          </cell>
          <cell r="B339" t="str">
            <v>C199</v>
          </cell>
          <cell r="C339" t="str">
            <v>10</v>
          </cell>
          <cell r="D339" t="str">
            <v>10</v>
          </cell>
          <cell r="E339" t="str">
            <v>100</v>
          </cell>
          <cell r="F339" t="str">
            <v/>
          </cell>
          <cell r="G339" t="str">
            <v/>
          </cell>
          <cell r="H339">
            <v>0</v>
          </cell>
          <cell r="I339" t="str">
            <v>CNY</v>
          </cell>
          <cell r="J339" t="str">
            <v/>
          </cell>
          <cell r="K339" t="str">
            <v/>
          </cell>
          <cell r="L339" t="str">
            <v/>
          </cell>
        </row>
        <row r="340">
          <cell r="A340" t="str">
            <v>120006193</v>
          </cell>
          <cell r="B340" t="str">
            <v>C199</v>
          </cell>
          <cell r="C340" t="str">
            <v>10</v>
          </cell>
          <cell r="D340" t="str">
            <v>10</v>
          </cell>
          <cell r="E340" t="str">
            <v>100</v>
          </cell>
          <cell r="F340" t="str">
            <v/>
          </cell>
          <cell r="G340" t="str">
            <v/>
          </cell>
          <cell r="H340">
            <v>0</v>
          </cell>
          <cell r="I340" t="str">
            <v>CNY</v>
          </cell>
          <cell r="J340" t="str">
            <v/>
          </cell>
          <cell r="K340" t="str">
            <v/>
          </cell>
          <cell r="L340" t="str">
            <v/>
          </cell>
        </row>
        <row r="341">
          <cell r="A341" t="str">
            <v>120006230</v>
          </cell>
          <cell r="B341" t="str">
            <v>C199</v>
          </cell>
          <cell r="C341" t="str">
            <v>10</v>
          </cell>
          <cell r="D341" t="str">
            <v>10</v>
          </cell>
          <cell r="E341" t="str">
            <v>100</v>
          </cell>
          <cell r="F341" t="str">
            <v/>
          </cell>
          <cell r="G341" t="str">
            <v/>
          </cell>
          <cell r="H341">
            <v>0</v>
          </cell>
          <cell r="I341" t="str">
            <v>CNY</v>
          </cell>
          <cell r="J341" t="str">
            <v/>
          </cell>
          <cell r="K341" t="str">
            <v/>
          </cell>
          <cell r="L341" t="str">
            <v/>
          </cell>
        </row>
        <row r="342">
          <cell r="A342" t="str">
            <v>120006231</v>
          </cell>
          <cell r="B342" t="str">
            <v>C199</v>
          </cell>
          <cell r="C342" t="str">
            <v>10</v>
          </cell>
          <cell r="D342" t="str">
            <v>10</v>
          </cell>
          <cell r="E342" t="str">
            <v>100</v>
          </cell>
          <cell r="F342" t="str">
            <v/>
          </cell>
          <cell r="G342" t="str">
            <v/>
          </cell>
          <cell r="H342">
            <v>0</v>
          </cell>
          <cell r="I342" t="str">
            <v>CNY</v>
          </cell>
          <cell r="J342" t="str">
            <v/>
          </cell>
          <cell r="K342" t="str">
            <v/>
          </cell>
          <cell r="L342" t="str">
            <v/>
          </cell>
        </row>
        <row r="343">
          <cell r="A343" t="str">
            <v>120006232</v>
          </cell>
          <cell r="B343" t="str">
            <v>C199</v>
          </cell>
          <cell r="C343" t="str">
            <v>10</v>
          </cell>
          <cell r="D343" t="str">
            <v>10</v>
          </cell>
          <cell r="E343" t="str">
            <v>100</v>
          </cell>
          <cell r="F343" t="str">
            <v/>
          </cell>
          <cell r="G343" t="str">
            <v/>
          </cell>
          <cell r="H343">
            <v>0</v>
          </cell>
          <cell r="I343" t="str">
            <v>CNY</v>
          </cell>
          <cell r="J343" t="str">
            <v/>
          </cell>
          <cell r="K343" t="str">
            <v/>
          </cell>
          <cell r="L343" t="str">
            <v/>
          </cell>
        </row>
        <row r="344">
          <cell r="A344" t="str">
            <v>120006237</v>
          </cell>
          <cell r="B344" t="str">
            <v>C074</v>
          </cell>
          <cell r="C344" t="str">
            <v>10</v>
          </cell>
          <cell r="D344" t="str">
            <v>10</v>
          </cell>
          <cell r="E344" t="str">
            <v>100</v>
          </cell>
          <cell r="F344" t="str">
            <v/>
          </cell>
          <cell r="G344" t="str">
            <v/>
          </cell>
          <cell r="H344">
            <v>0</v>
          </cell>
          <cell r="I344" t="str">
            <v>KRW</v>
          </cell>
          <cell r="J344" t="str">
            <v/>
          </cell>
          <cell r="K344" t="str">
            <v/>
          </cell>
          <cell r="L344" t="str">
            <v/>
          </cell>
        </row>
        <row r="345">
          <cell r="A345" t="str">
            <v>120006237</v>
          </cell>
          <cell r="B345" t="str">
            <v>C199</v>
          </cell>
          <cell r="C345" t="str">
            <v>10</v>
          </cell>
          <cell r="D345" t="str">
            <v>10</v>
          </cell>
          <cell r="E345" t="str">
            <v>100</v>
          </cell>
          <cell r="F345" t="str">
            <v/>
          </cell>
          <cell r="G345" t="str">
            <v/>
          </cell>
          <cell r="H345">
            <v>0</v>
          </cell>
          <cell r="I345" t="str">
            <v>CNY</v>
          </cell>
          <cell r="J345" t="str">
            <v/>
          </cell>
          <cell r="K345" t="str">
            <v/>
          </cell>
          <cell r="L345" t="str">
            <v/>
          </cell>
        </row>
        <row r="346">
          <cell r="A346" t="str">
            <v>120006244</v>
          </cell>
          <cell r="B346" t="str">
            <v>C199</v>
          </cell>
          <cell r="C346" t="str">
            <v>10</v>
          </cell>
          <cell r="D346" t="str">
            <v>10</v>
          </cell>
          <cell r="E346" t="str">
            <v>100</v>
          </cell>
          <cell r="F346" t="str">
            <v/>
          </cell>
          <cell r="G346" t="str">
            <v/>
          </cell>
          <cell r="H346">
            <v>0</v>
          </cell>
          <cell r="I346" t="str">
            <v>CNY</v>
          </cell>
          <cell r="J346" t="str">
            <v/>
          </cell>
          <cell r="K346" t="str">
            <v/>
          </cell>
          <cell r="L346" t="str">
            <v/>
          </cell>
        </row>
        <row r="347">
          <cell r="A347" t="str">
            <v>120007608</v>
          </cell>
          <cell r="B347" t="str">
            <v>C199</v>
          </cell>
          <cell r="C347" t="str">
            <v>10</v>
          </cell>
          <cell r="D347" t="str">
            <v>10</v>
          </cell>
          <cell r="E347" t="str">
            <v>100</v>
          </cell>
          <cell r="F347" t="str">
            <v/>
          </cell>
          <cell r="G347" t="str">
            <v/>
          </cell>
          <cell r="H347">
            <v>0</v>
          </cell>
          <cell r="I347" t="str">
            <v>CNY</v>
          </cell>
          <cell r="J347" t="str">
            <v/>
          </cell>
          <cell r="K347" t="str">
            <v/>
          </cell>
          <cell r="L347" t="str">
            <v/>
          </cell>
        </row>
        <row r="348">
          <cell r="A348" t="str">
            <v>120007615</v>
          </cell>
          <cell r="B348" t="str">
            <v>C199</v>
          </cell>
          <cell r="C348" t="str">
            <v>10</v>
          </cell>
          <cell r="D348" t="str">
            <v>10</v>
          </cell>
          <cell r="E348" t="str">
            <v>100</v>
          </cell>
          <cell r="F348" t="str">
            <v/>
          </cell>
          <cell r="G348" t="str">
            <v/>
          </cell>
          <cell r="H348">
            <v>0</v>
          </cell>
          <cell r="I348" t="str">
            <v>CNY</v>
          </cell>
          <cell r="J348" t="str">
            <v/>
          </cell>
          <cell r="K348" t="str">
            <v/>
          </cell>
          <cell r="L348" t="str">
            <v/>
          </cell>
        </row>
        <row r="349">
          <cell r="A349" t="str">
            <v>120007681</v>
          </cell>
          <cell r="B349" t="str">
            <v>C199</v>
          </cell>
          <cell r="C349" t="str">
            <v>10</v>
          </cell>
          <cell r="D349" t="str">
            <v>10</v>
          </cell>
          <cell r="E349" t="str">
            <v>100</v>
          </cell>
          <cell r="F349" t="str">
            <v/>
          </cell>
          <cell r="G349" t="str">
            <v/>
          </cell>
          <cell r="H349">
            <v>0</v>
          </cell>
          <cell r="I349" t="str">
            <v>CNY</v>
          </cell>
          <cell r="J349" t="str">
            <v/>
          </cell>
          <cell r="K349" t="str">
            <v/>
          </cell>
          <cell r="L349" t="str">
            <v/>
          </cell>
        </row>
        <row r="350">
          <cell r="A350" t="str">
            <v>120007785</v>
          </cell>
          <cell r="B350" t="str">
            <v>C199</v>
          </cell>
          <cell r="C350" t="str">
            <v>10</v>
          </cell>
          <cell r="D350" t="str">
            <v>10</v>
          </cell>
          <cell r="E350" t="str">
            <v>100</v>
          </cell>
          <cell r="F350" t="str">
            <v/>
          </cell>
          <cell r="G350" t="str">
            <v/>
          </cell>
          <cell r="H350">
            <v>0</v>
          </cell>
          <cell r="I350" t="str">
            <v>CNY</v>
          </cell>
          <cell r="J350" t="str">
            <v/>
          </cell>
          <cell r="K350" t="str">
            <v/>
          </cell>
          <cell r="L350" t="str">
            <v/>
          </cell>
        </row>
        <row r="351">
          <cell r="A351" t="str">
            <v>120007832</v>
          </cell>
          <cell r="B351" t="str">
            <v>C199</v>
          </cell>
          <cell r="C351" t="str">
            <v>10</v>
          </cell>
          <cell r="D351" t="str">
            <v>10</v>
          </cell>
          <cell r="E351" t="str">
            <v>100</v>
          </cell>
          <cell r="F351" t="str">
            <v/>
          </cell>
          <cell r="G351" t="str">
            <v/>
          </cell>
          <cell r="H351">
            <v>0</v>
          </cell>
          <cell r="I351" t="str">
            <v>CNY</v>
          </cell>
          <cell r="J351" t="str">
            <v/>
          </cell>
          <cell r="K351" t="str">
            <v/>
          </cell>
          <cell r="L351" t="str">
            <v/>
          </cell>
        </row>
        <row r="352">
          <cell r="A352" t="str">
            <v>120007875</v>
          </cell>
          <cell r="B352" t="str">
            <v>C199</v>
          </cell>
          <cell r="C352" t="str">
            <v>10</v>
          </cell>
          <cell r="D352" t="str">
            <v>10</v>
          </cell>
          <cell r="E352" t="str">
            <v>100</v>
          </cell>
          <cell r="F352" t="str">
            <v/>
          </cell>
          <cell r="G352" t="str">
            <v/>
          </cell>
          <cell r="H352">
            <v>0</v>
          </cell>
          <cell r="I352" t="str">
            <v>CNY</v>
          </cell>
          <cell r="J352" t="str">
            <v/>
          </cell>
          <cell r="K352" t="str">
            <v/>
          </cell>
          <cell r="L352" t="str">
            <v/>
          </cell>
        </row>
        <row r="353">
          <cell r="A353" t="str">
            <v>120008107</v>
          </cell>
          <cell r="B353" t="str">
            <v>C199</v>
          </cell>
          <cell r="C353" t="str">
            <v>10</v>
          </cell>
          <cell r="D353" t="str">
            <v>10</v>
          </cell>
          <cell r="E353" t="str">
            <v>100</v>
          </cell>
          <cell r="F353" t="str">
            <v/>
          </cell>
          <cell r="G353" t="str">
            <v/>
          </cell>
          <cell r="H353">
            <v>0</v>
          </cell>
          <cell r="I353" t="str">
            <v>CNY</v>
          </cell>
          <cell r="J353" t="str">
            <v/>
          </cell>
          <cell r="K353" t="str">
            <v/>
          </cell>
          <cell r="L353" t="str">
            <v/>
          </cell>
        </row>
        <row r="354">
          <cell r="A354" t="str">
            <v>120008132</v>
          </cell>
          <cell r="B354" t="str">
            <v>C199</v>
          </cell>
          <cell r="C354" t="str">
            <v>10</v>
          </cell>
          <cell r="D354" t="str">
            <v>10</v>
          </cell>
          <cell r="E354" t="str">
            <v>100</v>
          </cell>
          <cell r="F354" t="str">
            <v/>
          </cell>
          <cell r="G354" t="str">
            <v/>
          </cell>
          <cell r="H354">
            <v>0</v>
          </cell>
          <cell r="I354" t="str">
            <v>CNY</v>
          </cell>
          <cell r="J354" t="str">
            <v/>
          </cell>
          <cell r="K354" t="str">
            <v/>
          </cell>
          <cell r="L354" t="str">
            <v/>
          </cell>
        </row>
        <row r="355">
          <cell r="A355" t="str">
            <v>120008149</v>
          </cell>
          <cell r="B355" t="str">
            <v>C199</v>
          </cell>
          <cell r="C355" t="str">
            <v>10</v>
          </cell>
          <cell r="D355" t="str">
            <v>10</v>
          </cell>
          <cell r="E355" t="str">
            <v>100</v>
          </cell>
          <cell r="F355" t="str">
            <v/>
          </cell>
          <cell r="G355" t="str">
            <v/>
          </cell>
          <cell r="H355">
            <v>0</v>
          </cell>
          <cell r="I355" t="str">
            <v>CNY</v>
          </cell>
          <cell r="J355" t="str">
            <v/>
          </cell>
          <cell r="K355" t="str">
            <v/>
          </cell>
          <cell r="L355" t="str">
            <v/>
          </cell>
        </row>
        <row r="356">
          <cell r="A356" t="str">
            <v>120008217</v>
          </cell>
          <cell r="B356" t="str">
            <v>C199</v>
          </cell>
          <cell r="C356" t="str">
            <v>10</v>
          </cell>
          <cell r="D356" t="str">
            <v>10</v>
          </cell>
          <cell r="E356" t="str">
            <v>100</v>
          </cell>
          <cell r="F356" t="str">
            <v/>
          </cell>
          <cell r="G356" t="str">
            <v/>
          </cell>
          <cell r="H356">
            <v>0</v>
          </cell>
          <cell r="I356" t="str">
            <v>CNY</v>
          </cell>
          <cell r="J356" t="str">
            <v/>
          </cell>
          <cell r="K356" t="str">
            <v/>
          </cell>
          <cell r="L356" t="str">
            <v/>
          </cell>
        </row>
        <row r="357">
          <cell r="A357" t="str">
            <v>120008329</v>
          </cell>
          <cell r="B357" t="str">
            <v>C199</v>
          </cell>
          <cell r="C357" t="str">
            <v>10</v>
          </cell>
          <cell r="D357" t="str">
            <v>10</v>
          </cell>
          <cell r="E357" t="str">
            <v>100</v>
          </cell>
          <cell r="F357" t="str">
            <v/>
          </cell>
          <cell r="G357" t="str">
            <v/>
          </cell>
          <cell r="H357">
            <v>0</v>
          </cell>
          <cell r="I357" t="str">
            <v>CNY</v>
          </cell>
          <cell r="J357" t="str">
            <v/>
          </cell>
          <cell r="K357" t="str">
            <v/>
          </cell>
          <cell r="L357" t="str">
            <v/>
          </cell>
        </row>
        <row r="358">
          <cell r="A358" t="str">
            <v>120008548</v>
          </cell>
          <cell r="B358" t="str">
            <v>C199</v>
          </cell>
          <cell r="C358" t="str">
            <v>10</v>
          </cell>
          <cell r="D358" t="str">
            <v>10</v>
          </cell>
          <cell r="E358" t="str">
            <v>100</v>
          </cell>
          <cell r="F358" t="str">
            <v/>
          </cell>
          <cell r="G358" t="str">
            <v/>
          </cell>
          <cell r="H358">
            <v>0</v>
          </cell>
          <cell r="I358" t="str">
            <v>CNY</v>
          </cell>
          <cell r="J358" t="str">
            <v/>
          </cell>
          <cell r="K358" t="str">
            <v/>
          </cell>
          <cell r="L358" t="str">
            <v/>
          </cell>
        </row>
        <row r="359">
          <cell r="A359" t="str">
            <v>120008611</v>
          </cell>
          <cell r="B359" t="str">
            <v>C199</v>
          </cell>
          <cell r="C359" t="str">
            <v>10</v>
          </cell>
          <cell r="D359" t="str">
            <v>10</v>
          </cell>
          <cell r="E359" t="str">
            <v>100</v>
          </cell>
          <cell r="F359" t="str">
            <v/>
          </cell>
          <cell r="G359" t="str">
            <v/>
          </cell>
          <cell r="H359">
            <v>0</v>
          </cell>
          <cell r="I359" t="str">
            <v>CNY</v>
          </cell>
          <cell r="J359" t="str">
            <v/>
          </cell>
          <cell r="K359" t="str">
            <v/>
          </cell>
          <cell r="L359" t="str">
            <v/>
          </cell>
        </row>
        <row r="360">
          <cell r="A360" t="str">
            <v>120008699</v>
          </cell>
          <cell r="B360" t="str">
            <v>C199</v>
          </cell>
          <cell r="C360" t="str">
            <v>10</v>
          </cell>
          <cell r="D360" t="str">
            <v>10</v>
          </cell>
          <cell r="E360" t="str">
            <v>100</v>
          </cell>
          <cell r="F360" t="str">
            <v/>
          </cell>
          <cell r="G360" t="str">
            <v/>
          </cell>
          <cell r="H360">
            <v>0</v>
          </cell>
          <cell r="I360" t="str">
            <v>CNY</v>
          </cell>
          <cell r="J360" t="str">
            <v/>
          </cell>
          <cell r="K360" t="str">
            <v/>
          </cell>
          <cell r="L360" t="str">
            <v/>
          </cell>
        </row>
        <row r="361">
          <cell r="A361" t="str">
            <v>120008879</v>
          </cell>
          <cell r="B361" t="str">
            <v>C199</v>
          </cell>
          <cell r="C361" t="str">
            <v>10</v>
          </cell>
          <cell r="D361" t="str">
            <v>10</v>
          </cell>
          <cell r="E361" t="str">
            <v>100</v>
          </cell>
          <cell r="F361" t="str">
            <v/>
          </cell>
          <cell r="G361" t="str">
            <v/>
          </cell>
          <cell r="H361">
            <v>0</v>
          </cell>
          <cell r="I361" t="str">
            <v>CNY</v>
          </cell>
          <cell r="J361" t="str">
            <v/>
          </cell>
          <cell r="K361" t="str">
            <v/>
          </cell>
          <cell r="L361" t="str">
            <v/>
          </cell>
        </row>
        <row r="362">
          <cell r="A362" t="str">
            <v>120008940</v>
          </cell>
          <cell r="B362" t="str">
            <v>C199</v>
          </cell>
          <cell r="C362" t="str">
            <v>10</v>
          </cell>
          <cell r="D362" t="str">
            <v>10</v>
          </cell>
          <cell r="E362" t="str">
            <v>100</v>
          </cell>
          <cell r="F362" t="str">
            <v/>
          </cell>
          <cell r="G362" t="str">
            <v/>
          </cell>
          <cell r="H362">
            <v>0</v>
          </cell>
          <cell r="I362" t="str">
            <v>CNY</v>
          </cell>
          <cell r="J362" t="str">
            <v/>
          </cell>
          <cell r="K362" t="str">
            <v/>
          </cell>
          <cell r="L362" t="str">
            <v/>
          </cell>
        </row>
        <row r="363">
          <cell r="A363" t="str">
            <v>120008955</v>
          </cell>
          <cell r="B363" t="str">
            <v>C199</v>
          </cell>
          <cell r="C363" t="str">
            <v>10</v>
          </cell>
          <cell r="D363" t="str">
            <v>10</v>
          </cell>
          <cell r="E363" t="str">
            <v>100</v>
          </cell>
          <cell r="F363" t="str">
            <v/>
          </cell>
          <cell r="G363" t="str">
            <v/>
          </cell>
          <cell r="H363">
            <v>0</v>
          </cell>
          <cell r="I363" t="str">
            <v>CNY</v>
          </cell>
          <cell r="J363" t="str">
            <v/>
          </cell>
          <cell r="K363" t="str">
            <v/>
          </cell>
          <cell r="L363" t="str">
            <v/>
          </cell>
        </row>
        <row r="364">
          <cell r="A364" t="str">
            <v>120009607</v>
          </cell>
          <cell r="B364" t="str">
            <v>C199</v>
          </cell>
          <cell r="C364" t="str">
            <v>10</v>
          </cell>
          <cell r="D364" t="str">
            <v>10</v>
          </cell>
          <cell r="E364" t="str">
            <v>100</v>
          </cell>
          <cell r="F364" t="str">
            <v/>
          </cell>
          <cell r="G364" t="str">
            <v/>
          </cell>
          <cell r="H364">
            <v>0</v>
          </cell>
          <cell r="I364" t="str">
            <v>CNY</v>
          </cell>
          <cell r="J364" t="str">
            <v/>
          </cell>
          <cell r="K364" t="str">
            <v/>
          </cell>
          <cell r="L364" t="str">
            <v/>
          </cell>
        </row>
        <row r="365">
          <cell r="A365" t="str">
            <v>120010167</v>
          </cell>
          <cell r="B365" t="str">
            <v>C199</v>
          </cell>
          <cell r="C365" t="str">
            <v>10</v>
          </cell>
          <cell r="D365" t="str">
            <v>10</v>
          </cell>
          <cell r="E365" t="str">
            <v>100</v>
          </cell>
          <cell r="F365" t="str">
            <v/>
          </cell>
          <cell r="G365" t="str">
            <v/>
          </cell>
          <cell r="H365">
            <v>0</v>
          </cell>
          <cell r="I365" t="str">
            <v>CNY</v>
          </cell>
          <cell r="J365" t="str">
            <v/>
          </cell>
          <cell r="K365" t="str">
            <v/>
          </cell>
          <cell r="L365" t="str">
            <v/>
          </cell>
        </row>
        <row r="366">
          <cell r="A366" t="str">
            <v>120010377</v>
          </cell>
          <cell r="B366" t="str">
            <v>C199</v>
          </cell>
          <cell r="C366" t="str">
            <v>10</v>
          </cell>
          <cell r="D366" t="str">
            <v>10</v>
          </cell>
          <cell r="E366" t="str">
            <v>100</v>
          </cell>
          <cell r="F366" t="str">
            <v/>
          </cell>
          <cell r="G366" t="str">
            <v/>
          </cell>
          <cell r="H366">
            <v>0</v>
          </cell>
          <cell r="I366" t="str">
            <v>CNY</v>
          </cell>
          <cell r="J366" t="str">
            <v/>
          </cell>
          <cell r="K366" t="str">
            <v/>
          </cell>
          <cell r="L366" t="str">
            <v/>
          </cell>
        </row>
        <row r="367">
          <cell r="A367" t="str">
            <v>120010487</v>
          </cell>
          <cell r="B367" t="str">
            <v>C199</v>
          </cell>
          <cell r="C367" t="str">
            <v>10</v>
          </cell>
          <cell r="D367" t="str">
            <v>10</v>
          </cell>
          <cell r="E367" t="str">
            <v>100</v>
          </cell>
          <cell r="F367" t="str">
            <v/>
          </cell>
          <cell r="G367" t="str">
            <v/>
          </cell>
          <cell r="H367">
            <v>0</v>
          </cell>
          <cell r="I367" t="str">
            <v>CNY</v>
          </cell>
          <cell r="J367" t="str">
            <v/>
          </cell>
          <cell r="K367" t="str">
            <v/>
          </cell>
          <cell r="L367" t="str">
            <v/>
          </cell>
        </row>
        <row r="368">
          <cell r="A368" t="str">
            <v>120010520</v>
          </cell>
          <cell r="B368" t="str">
            <v>C199</v>
          </cell>
          <cell r="C368" t="str">
            <v>10</v>
          </cell>
          <cell r="D368" t="str">
            <v>10</v>
          </cell>
          <cell r="E368" t="str">
            <v>100</v>
          </cell>
          <cell r="F368" t="str">
            <v/>
          </cell>
          <cell r="G368" t="str">
            <v/>
          </cell>
          <cell r="H368">
            <v>0</v>
          </cell>
          <cell r="I368" t="str">
            <v>CNY</v>
          </cell>
          <cell r="J368" t="str">
            <v/>
          </cell>
          <cell r="K368" t="str">
            <v/>
          </cell>
          <cell r="L368" t="str">
            <v/>
          </cell>
        </row>
        <row r="369">
          <cell r="A369" t="str">
            <v>120011395</v>
          </cell>
          <cell r="B369" t="str">
            <v>C199</v>
          </cell>
          <cell r="C369" t="str">
            <v>10</v>
          </cell>
          <cell r="D369" t="str">
            <v>10</v>
          </cell>
          <cell r="E369" t="str">
            <v>100</v>
          </cell>
          <cell r="F369" t="str">
            <v/>
          </cell>
          <cell r="G369" t="str">
            <v/>
          </cell>
          <cell r="H369">
            <v>0</v>
          </cell>
          <cell r="I369" t="str">
            <v>CNY</v>
          </cell>
          <cell r="J369" t="str">
            <v/>
          </cell>
          <cell r="K369" t="str">
            <v/>
          </cell>
          <cell r="L369" t="str">
            <v/>
          </cell>
        </row>
        <row r="370">
          <cell r="A370" t="str">
            <v>120011641</v>
          </cell>
          <cell r="B370" t="str">
            <v>C199</v>
          </cell>
          <cell r="C370" t="str">
            <v>10</v>
          </cell>
          <cell r="D370" t="str">
            <v>10</v>
          </cell>
          <cell r="E370" t="str">
            <v>100</v>
          </cell>
          <cell r="F370" t="str">
            <v/>
          </cell>
          <cell r="G370" t="str">
            <v/>
          </cell>
          <cell r="H370">
            <v>0</v>
          </cell>
          <cell r="I370" t="str">
            <v>CNY</v>
          </cell>
          <cell r="J370" t="str">
            <v/>
          </cell>
          <cell r="K370" t="str">
            <v/>
          </cell>
          <cell r="L370" t="str">
            <v/>
          </cell>
        </row>
        <row r="371">
          <cell r="A371" t="str">
            <v>120011827</v>
          </cell>
          <cell r="B371" t="str">
            <v>C199</v>
          </cell>
          <cell r="C371" t="str">
            <v>10</v>
          </cell>
          <cell r="D371" t="str">
            <v>10</v>
          </cell>
          <cell r="E371" t="str">
            <v>100</v>
          </cell>
          <cell r="F371" t="str">
            <v/>
          </cell>
          <cell r="G371" t="str">
            <v/>
          </cell>
          <cell r="H371">
            <v>0</v>
          </cell>
          <cell r="I371" t="str">
            <v>CNY</v>
          </cell>
          <cell r="J371" t="str">
            <v/>
          </cell>
          <cell r="K371" t="str">
            <v/>
          </cell>
          <cell r="L371" t="str">
            <v/>
          </cell>
        </row>
        <row r="372">
          <cell r="A372" t="str">
            <v>120011841</v>
          </cell>
          <cell r="B372" t="str">
            <v>C199</v>
          </cell>
          <cell r="C372" t="str">
            <v>10</v>
          </cell>
          <cell r="D372" t="str">
            <v>10</v>
          </cell>
          <cell r="E372" t="str">
            <v>100</v>
          </cell>
          <cell r="F372" t="str">
            <v/>
          </cell>
          <cell r="G372" t="str">
            <v/>
          </cell>
          <cell r="H372">
            <v>0</v>
          </cell>
          <cell r="I372" t="str">
            <v>CNY</v>
          </cell>
          <cell r="J372" t="str">
            <v/>
          </cell>
          <cell r="K372" t="str">
            <v/>
          </cell>
          <cell r="L372" t="str">
            <v/>
          </cell>
        </row>
        <row r="373">
          <cell r="A373" t="str">
            <v>120011888</v>
          </cell>
          <cell r="B373" t="str">
            <v>C199</v>
          </cell>
          <cell r="C373" t="str">
            <v>10</v>
          </cell>
          <cell r="D373" t="str">
            <v>10</v>
          </cell>
          <cell r="E373" t="str">
            <v>100</v>
          </cell>
          <cell r="F373" t="str">
            <v/>
          </cell>
          <cell r="G373" t="str">
            <v/>
          </cell>
          <cell r="H373">
            <v>0</v>
          </cell>
          <cell r="I373" t="str">
            <v>CNY</v>
          </cell>
          <cell r="J373" t="str">
            <v/>
          </cell>
          <cell r="K373" t="str">
            <v/>
          </cell>
          <cell r="L373" t="str">
            <v/>
          </cell>
        </row>
        <row r="374">
          <cell r="A374" t="str">
            <v>120011947</v>
          </cell>
          <cell r="B374" t="str">
            <v>C199</v>
          </cell>
          <cell r="C374" t="str">
            <v>10</v>
          </cell>
          <cell r="D374" t="str">
            <v>10</v>
          </cell>
          <cell r="E374" t="str">
            <v>100</v>
          </cell>
          <cell r="F374" t="str">
            <v/>
          </cell>
          <cell r="G374" t="str">
            <v/>
          </cell>
          <cell r="H374">
            <v>0</v>
          </cell>
          <cell r="I374" t="str">
            <v>CNY</v>
          </cell>
          <cell r="J374" t="str">
            <v/>
          </cell>
          <cell r="K374" t="str">
            <v/>
          </cell>
          <cell r="L374" t="str">
            <v/>
          </cell>
        </row>
        <row r="375">
          <cell r="A375" t="str">
            <v>120011995</v>
          </cell>
          <cell r="B375" t="str">
            <v>C199</v>
          </cell>
          <cell r="C375" t="str">
            <v>10</v>
          </cell>
          <cell r="D375" t="str">
            <v>10</v>
          </cell>
          <cell r="E375" t="str">
            <v>100</v>
          </cell>
          <cell r="F375" t="str">
            <v/>
          </cell>
          <cell r="G375" t="str">
            <v/>
          </cell>
          <cell r="H375">
            <v>0</v>
          </cell>
          <cell r="I375" t="str">
            <v>CNY</v>
          </cell>
          <cell r="J375" t="str">
            <v/>
          </cell>
          <cell r="K375" t="str">
            <v/>
          </cell>
          <cell r="L375" t="str">
            <v/>
          </cell>
        </row>
        <row r="376">
          <cell r="A376" t="str">
            <v>120012168</v>
          </cell>
          <cell r="B376" t="str">
            <v>C199</v>
          </cell>
          <cell r="C376" t="str">
            <v>10</v>
          </cell>
          <cell r="D376" t="str">
            <v>10</v>
          </cell>
          <cell r="E376" t="str">
            <v>100</v>
          </cell>
          <cell r="F376" t="str">
            <v/>
          </cell>
          <cell r="G376" t="str">
            <v/>
          </cell>
          <cell r="H376">
            <v>0</v>
          </cell>
          <cell r="I376" t="str">
            <v>CNY</v>
          </cell>
          <cell r="J376" t="str">
            <v/>
          </cell>
          <cell r="K376" t="str">
            <v/>
          </cell>
          <cell r="L376" t="str">
            <v/>
          </cell>
        </row>
        <row r="377">
          <cell r="A377" t="str">
            <v>120012183</v>
          </cell>
          <cell r="B377" t="str">
            <v>C199</v>
          </cell>
          <cell r="C377" t="str">
            <v>10</v>
          </cell>
          <cell r="D377" t="str">
            <v>10</v>
          </cell>
          <cell r="E377" t="str">
            <v>100</v>
          </cell>
          <cell r="F377" t="str">
            <v/>
          </cell>
          <cell r="G377" t="str">
            <v/>
          </cell>
          <cell r="H377">
            <v>0</v>
          </cell>
          <cell r="I377" t="str">
            <v>CNY</v>
          </cell>
          <cell r="J377" t="str">
            <v/>
          </cell>
          <cell r="K377" t="str">
            <v/>
          </cell>
          <cell r="L377" t="str">
            <v/>
          </cell>
        </row>
        <row r="378">
          <cell r="A378" t="str">
            <v>120012276</v>
          </cell>
          <cell r="B378" t="str">
            <v>C199</v>
          </cell>
          <cell r="C378" t="str">
            <v>10</v>
          </cell>
          <cell r="D378" t="str">
            <v>10</v>
          </cell>
          <cell r="E378" t="str">
            <v>100</v>
          </cell>
          <cell r="F378" t="str">
            <v/>
          </cell>
          <cell r="G378" t="str">
            <v/>
          </cell>
          <cell r="H378">
            <v>0</v>
          </cell>
          <cell r="I378" t="str">
            <v>CNY</v>
          </cell>
          <cell r="J378" t="str">
            <v/>
          </cell>
          <cell r="K378" t="str">
            <v/>
          </cell>
          <cell r="L378" t="str">
            <v/>
          </cell>
        </row>
        <row r="379">
          <cell r="A379" t="str">
            <v>120012282</v>
          </cell>
          <cell r="B379" t="str">
            <v>C199</v>
          </cell>
          <cell r="C379" t="str">
            <v>10</v>
          </cell>
          <cell r="D379" t="str">
            <v>10</v>
          </cell>
          <cell r="E379" t="str">
            <v>100</v>
          </cell>
          <cell r="F379" t="str">
            <v/>
          </cell>
          <cell r="G379" t="str">
            <v/>
          </cell>
          <cell r="H379">
            <v>0</v>
          </cell>
          <cell r="I379" t="str">
            <v>CNY</v>
          </cell>
          <cell r="J379" t="str">
            <v/>
          </cell>
          <cell r="K379" t="str">
            <v/>
          </cell>
          <cell r="L379" t="str">
            <v/>
          </cell>
        </row>
        <row r="380">
          <cell r="A380" t="str">
            <v>120012690</v>
          </cell>
          <cell r="B380" t="str">
            <v>C199</v>
          </cell>
          <cell r="C380" t="str">
            <v>10</v>
          </cell>
          <cell r="D380" t="str">
            <v>10</v>
          </cell>
          <cell r="E380" t="str">
            <v>100</v>
          </cell>
          <cell r="F380" t="str">
            <v/>
          </cell>
          <cell r="G380" t="str">
            <v/>
          </cell>
          <cell r="H380">
            <v>0</v>
          </cell>
          <cell r="I380" t="str">
            <v>CNY</v>
          </cell>
          <cell r="J380" t="str">
            <v/>
          </cell>
          <cell r="K380" t="str">
            <v/>
          </cell>
          <cell r="L380" t="str">
            <v/>
          </cell>
        </row>
        <row r="381">
          <cell r="A381" t="str">
            <v>120012821</v>
          </cell>
          <cell r="B381" t="str">
            <v>C199</v>
          </cell>
          <cell r="C381" t="str">
            <v>10</v>
          </cell>
          <cell r="D381" t="str">
            <v>10</v>
          </cell>
          <cell r="E381" t="str">
            <v>100</v>
          </cell>
          <cell r="F381" t="str">
            <v/>
          </cell>
          <cell r="G381" t="str">
            <v/>
          </cell>
          <cell r="H381">
            <v>0</v>
          </cell>
          <cell r="I381" t="str">
            <v>CNY</v>
          </cell>
          <cell r="J381" t="str">
            <v/>
          </cell>
          <cell r="K381" t="str">
            <v/>
          </cell>
          <cell r="L381" t="str">
            <v/>
          </cell>
        </row>
        <row r="382">
          <cell r="A382" t="str">
            <v>120012996</v>
          </cell>
          <cell r="B382" t="str">
            <v>C199</v>
          </cell>
          <cell r="C382" t="str">
            <v>10</v>
          </cell>
          <cell r="D382" t="str">
            <v>10</v>
          </cell>
          <cell r="E382" t="str">
            <v>100</v>
          </cell>
          <cell r="F382" t="str">
            <v/>
          </cell>
          <cell r="G382" t="str">
            <v/>
          </cell>
          <cell r="H382">
            <v>0</v>
          </cell>
          <cell r="I382" t="str">
            <v>CNY</v>
          </cell>
          <cell r="J382" t="str">
            <v/>
          </cell>
          <cell r="K382" t="str">
            <v/>
          </cell>
          <cell r="L382" t="str">
            <v/>
          </cell>
        </row>
        <row r="383">
          <cell r="A383" t="str">
            <v>120013333</v>
          </cell>
          <cell r="B383" t="str">
            <v>C199</v>
          </cell>
          <cell r="C383" t="str">
            <v>10</v>
          </cell>
          <cell r="D383" t="str">
            <v>10</v>
          </cell>
          <cell r="E383" t="str">
            <v>100</v>
          </cell>
          <cell r="F383" t="str">
            <v/>
          </cell>
          <cell r="G383" t="str">
            <v/>
          </cell>
          <cell r="H383">
            <v>0</v>
          </cell>
          <cell r="I383" t="str">
            <v>CNY</v>
          </cell>
          <cell r="J383" t="str">
            <v/>
          </cell>
          <cell r="K383" t="str">
            <v/>
          </cell>
          <cell r="L383" t="str">
            <v/>
          </cell>
        </row>
        <row r="384">
          <cell r="A384" t="str">
            <v>120013425</v>
          </cell>
          <cell r="B384" t="str">
            <v>C199</v>
          </cell>
          <cell r="C384" t="str">
            <v>10</v>
          </cell>
          <cell r="D384" t="str">
            <v>10</v>
          </cell>
          <cell r="E384" t="str">
            <v>100</v>
          </cell>
          <cell r="F384" t="str">
            <v/>
          </cell>
          <cell r="G384" t="str">
            <v/>
          </cell>
          <cell r="H384">
            <v>0</v>
          </cell>
          <cell r="I384" t="str">
            <v>CNY</v>
          </cell>
          <cell r="J384" t="str">
            <v/>
          </cell>
          <cell r="K384" t="str">
            <v/>
          </cell>
          <cell r="L384" t="str">
            <v/>
          </cell>
        </row>
        <row r="385">
          <cell r="A385" t="str">
            <v>120014159</v>
          </cell>
          <cell r="B385" t="str">
            <v>C199</v>
          </cell>
          <cell r="C385" t="str">
            <v>10</v>
          </cell>
          <cell r="D385" t="str">
            <v>10</v>
          </cell>
          <cell r="E385" t="str">
            <v>100</v>
          </cell>
          <cell r="F385" t="str">
            <v/>
          </cell>
          <cell r="G385" t="str">
            <v/>
          </cell>
          <cell r="H385">
            <v>0</v>
          </cell>
          <cell r="I385" t="str">
            <v>CNY</v>
          </cell>
          <cell r="J385" t="str">
            <v/>
          </cell>
          <cell r="K385" t="str">
            <v/>
          </cell>
          <cell r="L385" t="str">
            <v/>
          </cell>
        </row>
        <row r="386">
          <cell r="A386" t="str">
            <v>120014174</v>
          </cell>
          <cell r="B386" t="str">
            <v>C199</v>
          </cell>
          <cell r="C386" t="str">
            <v>10</v>
          </cell>
          <cell r="D386" t="str">
            <v>10</v>
          </cell>
          <cell r="E386" t="str">
            <v>100</v>
          </cell>
          <cell r="F386" t="str">
            <v/>
          </cell>
          <cell r="G386" t="str">
            <v/>
          </cell>
          <cell r="H386">
            <v>0</v>
          </cell>
          <cell r="I386" t="str">
            <v>CNY</v>
          </cell>
          <cell r="J386" t="str">
            <v/>
          </cell>
          <cell r="K386" t="str">
            <v/>
          </cell>
          <cell r="L386" t="str">
            <v/>
          </cell>
        </row>
        <row r="387">
          <cell r="A387" t="str">
            <v>120014276</v>
          </cell>
          <cell r="B387" t="str">
            <v>C199</v>
          </cell>
          <cell r="C387" t="str">
            <v>10</v>
          </cell>
          <cell r="D387" t="str">
            <v>10</v>
          </cell>
          <cell r="E387" t="str">
            <v>100</v>
          </cell>
          <cell r="F387" t="str">
            <v/>
          </cell>
          <cell r="G387" t="str">
            <v/>
          </cell>
          <cell r="H387">
            <v>0</v>
          </cell>
          <cell r="I387" t="str">
            <v>CNY</v>
          </cell>
          <cell r="J387" t="str">
            <v/>
          </cell>
          <cell r="K387" t="str">
            <v/>
          </cell>
          <cell r="L387" t="str">
            <v/>
          </cell>
        </row>
        <row r="388">
          <cell r="A388" t="str">
            <v>120014305</v>
          </cell>
          <cell r="B388" t="str">
            <v>C199</v>
          </cell>
          <cell r="C388" t="str">
            <v>10</v>
          </cell>
          <cell r="D388" t="str">
            <v>10</v>
          </cell>
          <cell r="E388" t="str">
            <v>100</v>
          </cell>
          <cell r="F388" t="str">
            <v/>
          </cell>
          <cell r="G388" t="str">
            <v/>
          </cell>
          <cell r="H388">
            <v>0</v>
          </cell>
          <cell r="I388" t="str">
            <v>CNY</v>
          </cell>
          <cell r="J388" t="str">
            <v/>
          </cell>
          <cell r="K388" t="str">
            <v/>
          </cell>
          <cell r="L388" t="str">
            <v/>
          </cell>
        </row>
        <row r="389">
          <cell r="A389" t="str">
            <v>120014358</v>
          </cell>
          <cell r="B389" t="str">
            <v>C199</v>
          </cell>
          <cell r="C389" t="str">
            <v>10</v>
          </cell>
          <cell r="D389" t="str">
            <v>10</v>
          </cell>
          <cell r="E389" t="str">
            <v>100</v>
          </cell>
          <cell r="F389" t="str">
            <v/>
          </cell>
          <cell r="G389" t="str">
            <v/>
          </cell>
          <cell r="H389">
            <v>0</v>
          </cell>
          <cell r="I389" t="str">
            <v>CNY</v>
          </cell>
          <cell r="J389" t="str">
            <v/>
          </cell>
          <cell r="K389" t="str">
            <v/>
          </cell>
          <cell r="L389" t="str">
            <v/>
          </cell>
        </row>
        <row r="390">
          <cell r="A390" t="str">
            <v>120015707</v>
          </cell>
          <cell r="B390" t="str">
            <v>C199</v>
          </cell>
          <cell r="C390" t="str">
            <v>10</v>
          </cell>
          <cell r="D390" t="str">
            <v>10</v>
          </cell>
          <cell r="E390" t="str">
            <v>100</v>
          </cell>
          <cell r="F390" t="str">
            <v/>
          </cell>
          <cell r="G390" t="str">
            <v/>
          </cell>
          <cell r="H390">
            <v>0</v>
          </cell>
          <cell r="I390" t="str">
            <v>CNY</v>
          </cell>
          <cell r="J390" t="str">
            <v/>
          </cell>
          <cell r="K390" t="str">
            <v/>
          </cell>
          <cell r="L390" t="str">
            <v/>
          </cell>
        </row>
        <row r="391">
          <cell r="A391" t="str">
            <v>120015864</v>
          </cell>
          <cell r="B391" t="str">
            <v>C199</v>
          </cell>
          <cell r="C391" t="str">
            <v>10</v>
          </cell>
          <cell r="D391" t="str">
            <v>10</v>
          </cell>
          <cell r="E391" t="str">
            <v>100</v>
          </cell>
          <cell r="F391" t="str">
            <v/>
          </cell>
          <cell r="G391" t="str">
            <v/>
          </cell>
          <cell r="H391">
            <v>0</v>
          </cell>
          <cell r="I391" t="str">
            <v>CNY</v>
          </cell>
          <cell r="J391" t="str">
            <v/>
          </cell>
          <cell r="K391" t="str">
            <v/>
          </cell>
          <cell r="L391" t="str">
            <v/>
          </cell>
        </row>
        <row r="392">
          <cell r="A392" t="str">
            <v>120015866</v>
          </cell>
          <cell r="B392" t="str">
            <v>C199</v>
          </cell>
          <cell r="C392" t="str">
            <v>10</v>
          </cell>
          <cell r="D392" t="str">
            <v>10</v>
          </cell>
          <cell r="E392" t="str">
            <v>100</v>
          </cell>
          <cell r="F392" t="str">
            <v/>
          </cell>
          <cell r="G392" t="str">
            <v/>
          </cell>
          <cell r="H392">
            <v>0</v>
          </cell>
          <cell r="I392" t="str">
            <v>CNY</v>
          </cell>
          <cell r="J392" t="str">
            <v/>
          </cell>
          <cell r="K392" t="str">
            <v/>
          </cell>
          <cell r="L392" t="str">
            <v/>
          </cell>
        </row>
        <row r="393">
          <cell r="A393" t="str">
            <v>120015873</v>
          </cell>
          <cell r="B393" t="str">
            <v>C199</v>
          </cell>
          <cell r="C393" t="str">
            <v>10</v>
          </cell>
          <cell r="D393" t="str">
            <v>10</v>
          </cell>
          <cell r="E393" t="str">
            <v>100</v>
          </cell>
          <cell r="F393" t="str">
            <v/>
          </cell>
          <cell r="G393" t="str">
            <v/>
          </cell>
          <cell r="H393">
            <v>0</v>
          </cell>
          <cell r="I393" t="str">
            <v>CNY</v>
          </cell>
          <cell r="J393" t="str">
            <v/>
          </cell>
          <cell r="K393" t="str">
            <v/>
          </cell>
          <cell r="L393" t="str">
            <v/>
          </cell>
        </row>
        <row r="394">
          <cell r="A394" t="str">
            <v>120015931</v>
          </cell>
          <cell r="B394" t="str">
            <v>C199</v>
          </cell>
          <cell r="C394" t="str">
            <v>10</v>
          </cell>
          <cell r="D394" t="str">
            <v>10</v>
          </cell>
          <cell r="E394" t="str">
            <v>100</v>
          </cell>
          <cell r="F394" t="str">
            <v/>
          </cell>
          <cell r="G394" t="str">
            <v/>
          </cell>
          <cell r="H394">
            <v>0</v>
          </cell>
          <cell r="I394" t="str">
            <v>CNY</v>
          </cell>
          <cell r="J394" t="str">
            <v/>
          </cell>
          <cell r="K394" t="str">
            <v/>
          </cell>
          <cell r="L394" t="str">
            <v/>
          </cell>
        </row>
        <row r="395">
          <cell r="A395" t="str">
            <v>120016006</v>
          </cell>
          <cell r="B395" t="str">
            <v>C199</v>
          </cell>
          <cell r="C395" t="str">
            <v>10</v>
          </cell>
          <cell r="D395" t="str">
            <v>10</v>
          </cell>
          <cell r="E395" t="str">
            <v>100</v>
          </cell>
          <cell r="F395" t="str">
            <v/>
          </cell>
          <cell r="G395" t="str">
            <v/>
          </cell>
          <cell r="H395">
            <v>0</v>
          </cell>
          <cell r="I395" t="str">
            <v>CNY</v>
          </cell>
          <cell r="J395" t="str">
            <v/>
          </cell>
          <cell r="K395" t="str">
            <v/>
          </cell>
          <cell r="L395" t="str">
            <v/>
          </cell>
        </row>
        <row r="396">
          <cell r="A396" t="str">
            <v>120016188</v>
          </cell>
          <cell r="B396" t="str">
            <v>C199</v>
          </cell>
          <cell r="C396" t="str">
            <v>10</v>
          </cell>
          <cell r="D396" t="str">
            <v>10</v>
          </cell>
          <cell r="E396" t="str">
            <v>100</v>
          </cell>
          <cell r="F396" t="str">
            <v/>
          </cell>
          <cell r="G396" t="str">
            <v/>
          </cell>
          <cell r="H396">
            <v>0</v>
          </cell>
          <cell r="I396" t="str">
            <v>CNY</v>
          </cell>
          <cell r="J396" t="str">
            <v/>
          </cell>
          <cell r="K396" t="str">
            <v/>
          </cell>
          <cell r="L396" t="str">
            <v/>
          </cell>
        </row>
        <row r="397">
          <cell r="A397" t="str">
            <v>120016433</v>
          </cell>
          <cell r="B397" t="str">
            <v>C199</v>
          </cell>
          <cell r="C397" t="str">
            <v>10</v>
          </cell>
          <cell r="D397" t="str">
            <v>10</v>
          </cell>
          <cell r="E397" t="str">
            <v>100</v>
          </cell>
          <cell r="F397" t="str">
            <v/>
          </cell>
          <cell r="G397" t="str">
            <v/>
          </cell>
          <cell r="H397">
            <v>0</v>
          </cell>
          <cell r="I397" t="str">
            <v>CNY</v>
          </cell>
          <cell r="J397" t="str">
            <v/>
          </cell>
          <cell r="K397" t="str">
            <v/>
          </cell>
          <cell r="L397" t="str">
            <v/>
          </cell>
        </row>
        <row r="398">
          <cell r="A398" t="str">
            <v>120016463</v>
          </cell>
          <cell r="B398" t="str">
            <v>C199</v>
          </cell>
          <cell r="C398" t="str">
            <v>10</v>
          </cell>
          <cell r="D398" t="str">
            <v>10</v>
          </cell>
          <cell r="E398" t="str">
            <v>100</v>
          </cell>
          <cell r="F398" t="str">
            <v/>
          </cell>
          <cell r="G398" t="str">
            <v/>
          </cell>
          <cell r="H398">
            <v>0</v>
          </cell>
          <cell r="I398" t="str">
            <v>CNY</v>
          </cell>
          <cell r="J398" t="str">
            <v/>
          </cell>
          <cell r="K398" t="str">
            <v/>
          </cell>
          <cell r="L398" t="str">
            <v/>
          </cell>
        </row>
        <row r="399">
          <cell r="A399" t="str">
            <v>120019839</v>
          </cell>
          <cell r="B399" t="str">
            <v>C199</v>
          </cell>
          <cell r="C399" t="str">
            <v>10</v>
          </cell>
          <cell r="D399" t="str">
            <v>10</v>
          </cell>
          <cell r="E399" t="str">
            <v>100</v>
          </cell>
          <cell r="F399" t="str">
            <v/>
          </cell>
          <cell r="G399" t="str">
            <v/>
          </cell>
          <cell r="H399">
            <v>0</v>
          </cell>
          <cell r="I399" t="str">
            <v>CNY</v>
          </cell>
          <cell r="J399" t="str">
            <v/>
          </cell>
          <cell r="K399" t="str">
            <v/>
          </cell>
          <cell r="L399" t="str">
            <v/>
          </cell>
        </row>
        <row r="400">
          <cell r="A400" t="str">
            <v>120019936</v>
          </cell>
          <cell r="B400" t="str">
            <v>C199</v>
          </cell>
          <cell r="C400" t="str">
            <v>10</v>
          </cell>
          <cell r="D400" t="str">
            <v>10</v>
          </cell>
          <cell r="E400" t="str">
            <v>100</v>
          </cell>
          <cell r="F400" t="str">
            <v/>
          </cell>
          <cell r="G400" t="str">
            <v/>
          </cell>
          <cell r="H400">
            <v>0</v>
          </cell>
          <cell r="I400" t="str">
            <v>CNY</v>
          </cell>
          <cell r="J400" t="str">
            <v/>
          </cell>
          <cell r="K400" t="str">
            <v/>
          </cell>
          <cell r="L400" t="str">
            <v/>
          </cell>
        </row>
        <row r="401">
          <cell r="A401" t="str">
            <v>120019965</v>
          </cell>
          <cell r="B401" t="str">
            <v>C199</v>
          </cell>
          <cell r="C401" t="str">
            <v>10</v>
          </cell>
          <cell r="D401" t="str">
            <v>10</v>
          </cell>
          <cell r="E401" t="str">
            <v>100</v>
          </cell>
          <cell r="F401" t="str">
            <v/>
          </cell>
          <cell r="G401" t="str">
            <v/>
          </cell>
          <cell r="H401">
            <v>0</v>
          </cell>
          <cell r="I401" t="str">
            <v>CNY</v>
          </cell>
          <cell r="J401" t="str">
            <v/>
          </cell>
          <cell r="K401" t="str">
            <v/>
          </cell>
          <cell r="L401" t="str">
            <v/>
          </cell>
        </row>
        <row r="402">
          <cell r="A402" t="str">
            <v>120020041</v>
          </cell>
          <cell r="B402" t="str">
            <v>C199</v>
          </cell>
          <cell r="C402" t="str">
            <v>10</v>
          </cell>
          <cell r="D402" t="str">
            <v>10</v>
          </cell>
          <cell r="E402" t="str">
            <v>100</v>
          </cell>
          <cell r="F402" t="str">
            <v/>
          </cell>
          <cell r="G402" t="str">
            <v/>
          </cell>
          <cell r="H402">
            <v>0</v>
          </cell>
          <cell r="I402" t="str">
            <v>CNY</v>
          </cell>
          <cell r="J402" t="str">
            <v/>
          </cell>
          <cell r="K402" t="str">
            <v/>
          </cell>
          <cell r="L402" t="str">
            <v/>
          </cell>
        </row>
        <row r="403">
          <cell r="A403" t="str">
            <v>120020042</v>
          </cell>
          <cell r="B403" t="str">
            <v>C199</v>
          </cell>
          <cell r="C403" t="str">
            <v>10</v>
          </cell>
          <cell r="D403" t="str">
            <v>10</v>
          </cell>
          <cell r="E403" t="str">
            <v>100</v>
          </cell>
          <cell r="F403" t="str">
            <v/>
          </cell>
          <cell r="G403" t="str">
            <v/>
          </cell>
          <cell r="H403">
            <v>0</v>
          </cell>
          <cell r="I403" t="str">
            <v>CNY</v>
          </cell>
          <cell r="J403" t="str">
            <v/>
          </cell>
          <cell r="K403" t="str">
            <v/>
          </cell>
          <cell r="L403" t="str">
            <v/>
          </cell>
        </row>
        <row r="404">
          <cell r="A404" t="str">
            <v>120020055</v>
          </cell>
          <cell r="B404" t="str">
            <v>C199</v>
          </cell>
          <cell r="C404" t="str">
            <v>10</v>
          </cell>
          <cell r="D404" t="str">
            <v>10</v>
          </cell>
          <cell r="E404" t="str">
            <v>100</v>
          </cell>
          <cell r="F404" t="str">
            <v/>
          </cell>
          <cell r="G404" t="str">
            <v/>
          </cell>
          <cell r="H404">
            <v>0</v>
          </cell>
          <cell r="I404" t="str">
            <v>CNY</v>
          </cell>
          <cell r="J404" t="str">
            <v/>
          </cell>
          <cell r="K404" t="str">
            <v/>
          </cell>
          <cell r="L404" t="str">
            <v/>
          </cell>
        </row>
        <row r="405">
          <cell r="A405" t="str">
            <v>120020257</v>
          </cell>
          <cell r="B405" t="str">
            <v>C199</v>
          </cell>
          <cell r="C405" t="str">
            <v>10</v>
          </cell>
          <cell r="D405" t="str">
            <v>10</v>
          </cell>
          <cell r="E405" t="str">
            <v>100</v>
          </cell>
          <cell r="F405" t="str">
            <v/>
          </cell>
          <cell r="G405" t="str">
            <v/>
          </cell>
          <cell r="H405">
            <v>0</v>
          </cell>
          <cell r="I405" t="str">
            <v>CNY</v>
          </cell>
          <cell r="J405" t="str">
            <v/>
          </cell>
          <cell r="K405" t="str">
            <v/>
          </cell>
          <cell r="L405" t="str">
            <v/>
          </cell>
        </row>
        <row r="406">
          <cell r="A406" t="str">
            <v>120020851</v>
          </cell>
          <cell r="B406" t="str">
            <v>C199</v>
          </cell>
          <cell r="C406" t="str">
            <v>10</v>
          </cell>
          <cell r="D406" t="str">
            <v>10</v>
          </cell>
          <cell r="E406" t="str">
            <v>100</v>
          </cell>
          <cell r="F406" t="str">
            <v/>
          </cell>
          <cell r="G406" t="str">
            <v/>
          </cell>
          <cell r="H406">
            <v>0</v>
          </cell>
          <cell r="I406" t="str">
            <v>CNY</v>
          </cell>
          <cell r="J406" t="str">
            <v/>
          </cell>
          <cell r="K406" t="str">
            <v/>
          </cell>
          <cell r="L406" t="str">
            <v/>
          </cell>
        </row>
        <row r="407">
          <cell r="A407" t="str">
            <v>120020874</v>
          </cell>
          <cell r="B407" t="str">
            <v>C199</v>
          </cell>
          <cell r="C407" t="str">
            <v>10</v>
          </cell>
          <cell r="D407" t="str">
            <v>10</v>
          </cell>
          <cell r="E407" t="str">
            <v>100</v>
          </cell>
          <cell r="F407" t="str">
            <v/>
          </cell>
          <cell r="G407" t="str">
            <v/>
          </cell>
          <cell r="H407">
            <v>0</v>
          </cell>
          <cell r="I407" t="str">
            <v>CNY</v>
          </cell>
          <cell r="J407" t="str">
            <v/>
          </cell>
          <cell r="K407" t="str">
            <v/>
          </cell>
          <cell r="L407" t="str">
            <v/>
          </cell>
        </row>
        <row r="408">
          <cell r="A408" t="str">
            <v>120020927</v>
          </cell>
          <cell r="B408" t="str">
            <v>C199</v>
          </cell>
          <cell r="C408" t="str">
            <v>10</v>
          </cell>
          <cell r="D408" t="str">
            <v>10</v>
          </cell>
          <cell r="E408" t="str">
            <v>100</v>
          </cell>
          <cell r="F408" t="str">
            <v/>
          </cell>
          <cell r="G408" t="str">
            <v/>
          </cell>
          <cell r="H408">
            <v>0</v>
          </cell>
          <cell r="I408" t="str">
            <v>CNY</v>
          </cell>
          <cell r="J408" t="str">
            <v/>
          </cell>
          <cell r="K408" t="str">
            <v/>
          </cell>
          <cell r="L408" t="str">
            <v/>
          </cell>
        </row>
        <row r="409">
          <cell r="A409" t="str">
            <v>120020993</v>
          </cell>
          <cell r="B409" t="str">
            <v>C199</v>
          </cell>
          <cell r="C409" t="str">
            <v>10</v>
          </cell>
          <cell r="D409" t="str">
            <v>10</v>
          </cell>
          <cell r="E409" t="str">
            <v>100</v>
          </cell>
          <cell r="F409" t="str">
            <v/>
          </cell>
          <cell r="G409" t="str">
            <v/>
          </cell>
          <cell r="H409">
            <v>0</v>
          </cell>
          <cell r="I409" t="str">
            <v>CNY</v>
          </cell>
          <cell r="J409" t="str">
            <v/>
          </cell>
          <cell r="K409" t="str">
            <v/>
          </cell>
          <cell r="L409" t="str">
            <v/>
          </cell>
        </row>
        <row r="410">
          <cell r="A410" t="str">
            <v>120021079</v>
          </cell>
          <cell r="B410" t="str">
            <v>C199</v>
          </cell>
          <cell r="C410" t="str">
            <v>10</v>
          </cell>
          <cell r="D410" t="str">
            <v>10</v>
          </cell>
          <cell r="E410" t="str">
            <v>100</v>
          </cell>
          <cell r="F410" t="str">
            <v/>
          </cell>
          <cell r="G410" t="str">
            <v/>
          </cell>
          <cell r="H410">
            <v>0</v>
          </cell>
          <cell r="I410" t="str">
            <v>CNY</v>
          </cell>
          <cell r="J410" t="str">
            <v/>
          </cell>
          <cell r="K410" t="str">
            <v/>
          </cell>
          <cell r="L410" t="str">
            <v/>
          </cell>
        </row>
        <row r="411">
          <cell r="A411" t="str">
            <v>120021130</v>
          </cell>
          <cell r="B411" t="str">
            <v>C199</v>
          </cell>
          <cell r="C411" t="str">
            <v>10</v>
          </cell>
          <cell r="D411" t="str">
            <v>10</v>
          </cell>
          <cell r="E411" t="str">
            <v>100</v>
          </cell>
          <cell r="F411" t="str">
            <v/>
          </cell>
          <cell r="G411" t="str">
            <v/>
          </cell>
          <cell r="H411">
            <v>0</v>
          </cell>
          <cell r="I411" t="str">
            <v>CNY</v>
          </cell>
          <cell r="J411" t="str">
            <v/>
          </cell>
          <cell r="K411" t="str">
            <v/>
          </cell>
          <cell r="L411" t="str">
            <v/>
          </cell>
        </row>
        <row r="412">
          <cell r="A412" t="str">
            <v>120021152</v>
          </cell>
          <cell r="B412" t="str">
            <v>C199</v>
          </cell>
          <cell r="C412" t="str">
            <v>10</v>
          </cell>
          <cell r="D412" t="str">
            <v>10</v>
          </cell>
          <cell r="E412" t="str">
            <v>100</v>
          </cell>
          <cell r="F412" t="str">
            <v/>
          </cell>
          <cell r="G412" t="str">
            <v/>
          </cell>
          <cell r="H412">
            <v>0</v>
          </cell>
          <cell r="I412" t="str">
            <v>CNY</v>
          </cell>
          <cell r="J412" t="str">
            <v/>
          </cell>
          <cell r="K412" t="str">
            <v/>
          </cell>
          <cell r="L412" t="str">
            <v/>
          </cell>
        </row>
        <row r="413">
          <cell r="A413" t="str">
            <v>120021271</v>
          </cell>
          <cell r="B413" t="str">
            <v>C199</v>
          </cell>
          <cell r="C413" t="str">
            <v>10</v>
          </cell>
          <cell r="D413" t="str">
            <v>10</v>
          </cell>
          <cell r="E413" t="str">
            <v>100</v>
          </cell>
          <cell r="F413" t="str">
            <v/>
          </cell>
          <cell r="G413" t="str">
            <v/>
          </cell>
          <cell r="H413">
            <v>0</v>
          </cell>
          <cell r="I413" t="str">
            <v>CNY</v>
          </cell>
          <cell r="J413" t="str">
            <v/>
          </cell>
          <cell r="K413" t="str">
            <v/>
          </cell>
          <cell r="L413" t="str">
            <v/>
          </cell>
        </row>
        <row r="414">
          <cell r="A414" t="str">
            <v>120021288</v>
          </cell>
          <cell r="B414" t="str">
            <v>C199</v>
          </cell>
          <cell r="C414" t="str">
            <v>10</v>
          </cell>
          <cell r="D414" t="str">
            <v>10</v>
          </cell>
          <cell r="E414" t="str">
            <v>100</v>
          </cell>
          <cell r="F414" t="str">
            <v/>
          </cell>
          <cell r="G414" t="str">
            <v/>
          </cell>
          <cell r="H414">
            <v>0</v>
          </cell>
          <cell r="I414" t="str">
            <v>CNY</v>
          </cell>
          <cell r="J414" t="str">
            <v/>
          </cell>
          <cell r="K414" t="str">
            <v/>
          </cell>
          <cell r="L414" t="str">
            <v/>
          </cell>
        </row>
        <row r="415">
          <cell r="A415" t="str">
            <v>120021446</v>
          </cell>
          <cell r="B415" t="str">
            <v>C199</v>
          </cell>
          <cell r="C415" t="str">
            <v>10</v>
          </cell>
          <cell r="D415" t="str">
            <v>10</v>
          </cell>
          <cell r="E415" t="str">
            <v>100</v>
          </cell>
          <cell r="F415" t="str">
            <v/>
          </cell>
          <cell r="G415" t="str">
            <v/>
          </cell>
          <cell r="H415">
            <v>0</v>
          </cell>
          <cell r="I415" t="str">
            <v>CNY</v>
          </cell>
          <cell r="J415" t="str">
            <v/>
          </cell>
          <cell r="K415" t="str">
            <v/>
          </cell>
          <cell r="L415" t="str">
            <v/>
          </cell>
        </row>
        <row r="416">
          <cell r="A416" t="str">
            <v>120021601</v>
          </cell>
          <cell r="B416" t="str">
            <v>C199</v>
          </cell>
          <cell r="C416" t="str">
            <v>10</v>
          </cell>
          <cell r="D416" t="str">
            <v>10</v>
          </cell>
          <cell r="E416" t="str">
            <v>100</v>
          </cell>
          <cell r="F416" t="str">
            <v/>
          </cell>
          <cell r="G416" t="str">
            <v/>
          </cell>
          <cell r="H416">
            <v>0</v>
          </cell>
          <cell r="I416" t="str">
            <v>CNY</v>
          </cell>
          <cell r="J416" t="str">
            <v/>
          </cell>
          <cell r="K416" t="str">
            <v/>
          </cell>
          <cell r="L416" t="str">
            <v/>
          </cell>
        </row>
        <row r="417">
          <cell r="A417" t="str">
            <v>120021741</v>
          </cell>
          <cell r="B417" t="str">
            <v>C199</v>
          </cell>
          <cell r="C417" t="str">
            <v>10</v>
          </cell>
          <cell r="D417" t="str">
            <v>10</v>
          </cell>
          <cell r="E417" t="str">
            <v>100</v>
          </cell>
          <cell r="F417" t="str">
            <v/>
          </cell>
          <cell r="G417" t="str">
            <v/>
          </cell>
          <cell r="H417">
            <v>0</v>
          </cell>
          <cell r="I417" t="str">
            <v>CNY</v>
          </cell>
          <cell r="J417" t="str">
            <v/>
          </cell>
          <cell r="K417" t="str">
            <v/>
          </cell>
          <cell r="L417" t="str">
            <v/>
          </cell>
        </row>
        <row r="418">
          <cell r="A418" t="str">
            <v>120021899</v>
          </cell>
          <cell r="B418" t="str">
            <v>C199</v>
          </cell>
          <cell r="C418" t="str">
            <v>10</v>
          </cell>
          <cell r="D418" t="str">
            <v>10</v>
          </cell>
          <cell r="E418" t="str">
            <v>100</v>
          </cell>
          <cell r="F418" t="str">
            <v/>
          </cell>
          <cell r="G418" t="str">
            <v/>
          </cell>
          <cell r="H418">
            <v>0</v>
          </cell>
          <cell r="I418" t="str">
            <v>CNY</v>
          </cell>
          <cell r="J418" t="str">
            <v/>
          </cell>
          <cell r="K418" t="str">
            <v/>
          </cell>
          <cell r="L418" t="str">
            <v/>
          </cell>
        </row>
        <row r="419">
          <cell r="A419" t="str">
            <v>120021942</v>
          </cell>
          <cell r="B419" t="str">
            <v>C199</v>
          </cell>
          <cell r="C419" t="str">
            <v>10</v>
          </cell>
          <cell r="D419" t="str">
            <v>10</v>
          </cell>
          <cell r="E419" t="str">
            <v>100</v>
          </cell>
          <cell r="F419" t="str">
            <v/>
          </cell>
          <cell r="G419" t="str">
            <v/>
          </cell>
          <cell r="H419">
            <v>0</v>
          </cell>
          <cell r="I419" t="str">
            <v>CNY</v>
          </cell>
          <cell r="J419" t="str">
            <v/>
          </cell>
          <cell r="K419" t="str">
            <v/>
          </cell>
          <cell r="L419" t="str">
            <v/>
          </cell>
        </row>
        <row r="420">
          <cell r="A420" t="str">
            <v>120022364</v>
          </cell>
          <cell r="B420" t="str">
            <v>C199</v>
          </cell>
          <cell r="C420" t="str">
            <v>10</v>
          </cell>
          <cell r="D420" t="str">
            <v>10</v>
          </cell>
          <cell r="E420" t="str">
            <v>100</v>
          </cell>
          <cell r="F420" t="str">
            <v/>
          </cell>
          <cell r="G420" t="str">
            <v/>
          </cell>
          <cell r="H420">
            <v>0</v>
          </cell>
          <cell r="I420" t="str">
            <v>CNY</v>
          </cell>
          <cell r="J420" t="str">
            <v/>
          </cell>
          <cell r="K420" t="str">
            <v/>
          </cell>
          <cell r="L420" t="str">
            <v/>
          </cell>
        </row>
        <row r="421">
          <cell r="A421" t="str">
            <v>120022705</v>
          </cell>
          <cell r="B421" t="str">
            <v>C199</v>
          </cell>
          <cell r="C421" t="str">
            <v>10</v>
          </cell>
          <cell r="D421" t="str">
            <v>10</v>
          </cell>
          <cell r="E421" t="str">
            <v>100</v>
          </cell>
          <cell r="F421" t="str">
            <v/>
          </cell>
          <cell r="G421" t="str">
            <v/>
          </cell>
          <cell r="H421">
            <v>0</v>
          </cell>
          <cell r="I421" t="str">
            <v>CNY</v>
          </cell>
          <cell r="J421" t="str">
            <v/>
          </cell>
          <cell r="K421" t="str">
            <v/>
          </cell>
          <cell r="L421" t="str">
            <v/>
          </cell>
        </row>
        <row r="422">
          <cell r="A422" t="str">
            <v>120023010</v>
          </cell>
          <cell r="B422" t="str">
            <v>C199</v>
          </cell>
          <cell r="C422" t="str">
            <v>10</v>
          </cell>
          <cell r="D422" t="str">
            <v>10</v>
          </cell>
          <cell r="E422" t="str">
            <v>100</v>
          </cell>
          <cell r="F422" t="str">
            <v/>
          </cell>
          <cell r="G422" t="str">
            <v/>
          </cell>
          <cell r="H422">
            <v>0</v>
          </cell>
          <cell r="I422" t="str">
            <v>CNY</v>
          </cell>
          <cell r="J422" t="str">
            <v/>
          </cell>
          <cell r="K422" t="str">
            <v/>
          </cell>
          <cell r="L422" t="str">
            <v/>
          </cell>
        </row>
        <row r="423">
          <cell r="A423" t="str">
            <v>120023217</v>
          </cell>
          <cell r="B423" t="str">
            <v>C199</v>
          </cell>
          <cell r="C423" t="str">
            <v>10</v>
          </cell>
          <cell r="D423" t="str">
            <v>10</v>
          </cell>
          <cell r="E423" t="str">
            <v>100</v>
          </cell>
          <cell r="F423" t="str">
            <v/>
          </cell>
          <cell r="G423" t="str">
            <v/>
          </cell>
          <cell r="H423">
            <v>0</v>
          </cell>
          <cell r="I423" t="str">
            <v>CNY</v>
          </cell>
          <cell r="J423" t="str">
            <v/>
          </cell>
          <cell r="K423" t="str">
            <v/>
          </cell>
          <cell r="L423" t="str">
            <v/>
          </cell>
        </row>
        <row r="424">
          <cell r="A424" t="str">
            <v>120023340</v>
          </cell>
          <cell r="B424" t="str">
            <v>C199</v>
          </cell>
          <cell r="C424" t="str">
            <v>10</v>
          </cell>
          <cell r="D424" t="str">
            <v>10</v>
          </cell>
          <cell r="E424" t="str">
            <v>100</v>
          </cell>
          <cell r="F424" t="str">
            <v/>
          </cell>
          <cell r="G424" t="str">
            <v/>
          </cell>
          <cell r="H424">
            <v>0</v>
          </cell>
          <cell r="I424" t="str">
            <v>CNY</v>
          </cell>
          <cell r="J424" t="str">
            <v/>
          </cell>
          <cell r="K424" t="str">
            <v/>
          </cell>
          <cell r="L424" t="str">
            <v/>
          </cell>
        </row>
        <row r="425">
          <cell r="A425" t="str">
            <v>120023766</v>
          </cell>
          <cell r="B425" t="str">
            <v>C199</v>
          </cell>
          <cell r="C425" t="str">
            <v>10</v>
          </cell>
          <cell r="D425" t="str">
            <v>10</v>
          </cell>
          <cell r="E425" t="str">
            <v>100</v>
          </cell>
          <cell r="F425" t="str">
            <v/>
          </cell>
          <cell r="G425" t="str">
            <v/>
          </cell>
          <cell r="H425">
            <v>0</v>
          </cell>
          <cell r="I425" t="str">
            <v>CNY</v>
          </cell>
          <cell r="J425" t="str">
            <v/>
          </cell>
          <cell r="K425" t="str">
            <v/>
          </cell>
          <cell r="L425" t="str">
            <v/>
          </cell>
        </row>
        <row r="426">
          <cell r="A426" t="str">
            <v>120023924</v>
          </cell>
          <cell r="B426" t="str">
            <v>C199</v>
          </cell>
          <cell r="C426" t="str">
            <v>10</v>
          </cell>
          <cell r="D426" t="str">
            <v>10</v>
          </cell>
          <cell r="E426" t="str">
            <v>100</v>
          </cell>
          <cell r="F426" t="str">
            <v/>
          </cell>
          <cell r="G426" t="str">
            <v/>
          </cell>
          <cell r="H426">
            <v>0</v>
          </cell>
          <cell r="I426" t="str">
            <v>CNY</v>
          </cell>
          <cell r="J426" t="str">
            <v/>
          </cell>
          <cell r="K426" t="str">
            <v/>
          </cell>
          <cell r="L426" t="str">
            <v/>
          </cell>
        </row>
        <row r="427">
          <cell r="A427" t="str">
            <v>120024088</v>
          </cell>
          <cell r="B427" t="str">
            <v>C199</v>
          </cell>
          <cell r="C427" t="str">
            <v>10</v>
          </cell>
          <cell r="D427" t="str">
            <v>10</v>
          </cell>
          <cell r="E427" t="str">
            <v>100</v>
          </cell>
          <cell r="F427" t="str">
            <v/>
          </cell>
          <cell r="G427" t="str">
            <v/>
          </cell>
          <cell r="H427">
            <v>0</v>
          </cell>
          <cell r="I427" t="str">
            <v>CNY</v>
          </cell>
          <cell r="J427" t="str">
            <v/>
          </cell>
          <cell r="K427" t="str">
            <v/>
          </cell>
          <cell r="L427" t="str">
            <v/>
          </cell>
        </row>
        <row r="428">
          <cell r="A428" t="str">
            <v>120024092</v>
          </cell>
          <cell r="B428" t="str">
            <v>C199</v>
          </cell>
          <cell r="C428" t="str">
            <v>10</v>
          </cell>
          <cell r="D428" t="str">
            <v>10</v>
          </cell>
          <cell r="E428" t="str">
            <v>100</v>
          </cell>
          <cell r="F428" t="str">
            <v/>
          </cell>
          <cell r="G428" t="str">
            <v/>
          </cell>
          <cell r="H428">
            <v>0</v>
          </cell>
          <cell r="I428" t="str">
            <v>CNY</v>
          </cell>
          <cell r="J428" t="str">
            <v/>
          </cell>
          <cell r="K428" t="str">
            <v/>
          </cell>
          <cell r="L428" t="str">
            <v/>
          </cell>
        </row>
        <row r="429">
          <cell r="A429" t="str">
            <v>120024103</v>
          </cell>
          <cell r="B429" t="str">
            <v>C199</v>
          </cell>
          <cell r="C429" t="str">
            <v>10</v>
          </cell>
          <cell r="D429" t="str">
            <v>10</v>
          </cell>
          <cell r="E429" t="str">
            <v>100</v>
          </cell>
          <cell r="F429" t="str">
            <v/>
          </cell>
          <cell r="G429" t="str">
            <v/>
          </cell>
          <cell r="H429">
            <v>0</v>
          </cell>
          <cell r="I429" t="str">
            <v>CNY</v>
          </cell>
          <cell r="J429" t="str">
            <v/>
          </cell>
          <cell r="K429" t="str">
            <v/>
          </cell>
          <cell r="L429" t="str">
            <v/>
          </cell>
        </row>
        <row r="430">
          <cell r="A430" t="str">
            <v>120024113</v>
          </cell>
          <cell r="B430" t="str">
            <v>C199</v>
          </cell>
          <cell r="C430" t="str">
            <v>10</v>
          </cell>
          <cell r="D430" t="str">
            <v>10</v>
          </cell>
          <cell r="E430" t="str">
            <v>100</v>
          </cell>
          <cell r="F430" t="str">
            <v/>
          </cell>
          <cell r="G430" t="str">
            <v/>
          </cell>
          <cell r="H430">
            <v>0</v>
          </cell>
          <cell r="I430" t="str">
            <v>CNY</v>
          </cell>
          <cell r="J430" t="str">
            <v/>
          </cell>
          <cell r="K430" t="str">
            <v/>
          </cell>
          <cell r="L430" t="str">
            <v/>
          </cell>
        </row>
        <row r="431">
          <cell r="A431" t="str">
            <v>120024122</v>
          </cell>
          <cell r="B431" t="str">
            <v>C199</v>
          </cell>
          <cell r="C431" t="str">
            <v>10</v>
          </cell>
          <cell r="D431" t="str">
            <v>10</v>
          </cell>
          <cell r="E431" t="str">
            <v>100</v>
          </cell>
          <cell r="F431" t="str">
            <v/>
          </cell>
          <cell r="G431" t="str">
            <v/>
          </cell>
          <cell r="H431">
            <v>0</v>
          </cell>
          <cell r="I431" t="str">
            <v>CNY</v>
          </cell>
          <cell r="J431" t="str">
            <v/>
          </cell>
          <cell r="K431" t="str">
            <v/>
          </cell>
          <cell r="L431" t="str">
            <v/>
          </cell>
        </row>
        <row r="432">
          <cell r="A432" t="str">
            <v>120024140</v>
          </cell>
          <cell r="B432" t="str">
            <v>C199</v>
          </cell>
          <cell r="C432" t="str">
            <v>10</v>
          </cell>
          <cell r="D432" t="str">
            <v>10</v>
          </cell>
          <cell r="E432" t="str">
            <v>100</v>
          </cell>
          <cell r="F432" t="str">
            <v/>
          </cell>
          <cell r="G432" t="str">
            <v/>
          </cell>
          <cell r="H432">
            <v>0</v>
          </cell>
          <cell r="I432" t="str">
            <v>CNY</v>
          </cell>
          <cell r="J432" t="str">
            <v/>
          </cell>
          <cell r="K432" t="str">
            <v/>
          </cell>
          <cell r="L432" t="str">
            <v/>
          </cell>
        </row>
        <row r="433">
          <cell r="A433" t="str">
            <v>120024152</v>
          </cell>
          <cell r="B433" t="str">
            <v>C199</v>
          </cell>
          <cell r="C433" t="str">
            <v>10</v>
          </cell>
          <cell r="D433" t="str">
            <v>10</v>
          </cell>
          <cell r="E433" t="str">
            <v>100</v>
          </cell>
          <cell r="F433" t="str">
            <v/>
          </cell>
          <cell r="G433" t="str">
            <v/>
          </cell>
          <cell r="H433">
            <v>0</v>
          </cell>
          <cell r="I433" t="str">
            <v>CNY</v>
          </cell>
          <cell r="J433" t="str">
            <v/>
          </cell>
          <cell r="K433" t="str">
            <v/>
          </cell>
          <cell r="L433" t="str">
            <v/>
          </cell>
        </row>
        <row r="434">
          <cell r="A434" t="str">
            <v>120024165</v>
          </cell>
          <cell r="B434" t="str">
            <v>C199</v>
          </cell>
          <cell r="C434" t="str">
            <v>10</v>
          </cell>
          <cell r="D434" t="str">
            <v>10</v>
          </cell>
          <cell r="E434" t="str">
            <v>100</v>
          </cell>
          <cell r="F434" t="str">
            <v/>
          </cell>
          <cell r="G434" t="str">
            <v/>
          </cell>
          <cell r="H434">
            <v>0</v>
          </cell>
          <cell r="I434" t="str">
            <v>CNY</v>
          </cell>
          <cell r="J434" t="str">
            <v/>
          </cell>
          <cell r="K434" t="str">
            <v/>
          </cell>
          <cell r="L434" t="str">
            <v/>
          </cell>
        </row>
        <row r="435">
          <cell r="A435" t="str">
            <v>120024195</v>
          </cell>
          <cell r="B435" t="str">
            <v>C199</v>
          </cell>
          <cell r="C435" t="str">
            <v>10</v>
          </cell>
          <cell r="D435" t="str">
            <v>10</v>
          </cell>
          <cell r="E435" t="str">
            <v>100</v>
          </cell>
          <cell r="F435" t="str">
            <v/>
          </cell>
          <cell r="G435" t="str">
            <v/>
          </cell>
          <cell r="H435">
            <v>0</v>
          </cell>
          <cell r="I435" t="str">
            <v>CNY</v>
          </cell>
          <cell r="J435" t="str">
            <v/>
          </cell>
          <cell r="K435" t="str">
            <v/>
          </cell>
          <cell r="L435" t="str">
            <v/>
          </cell>
        </row>
        <row r="436">
          <cell r="A436" t="str">
            <v>120024196</v>
          </cell>
          <cell r="B436" t="str">
            <v>C199</v>
          </cell>
          <cell r="C436" t="str">
            <v>10</v>
          </cell>
          <cell r="D436" t="str">
            <v>10</v>
          </cell>
          <cell r="E436" t="str">
            <v>100</v>
          </cell>
          <cell r="F436" t="str">
            <v/>
          </cell>
          <cell r="G436" t="str">
            <v/>
          </cell>
          <cell r="H436">
            <v>0</v>
          </cell>
          <cell r="I436" t="str">
            <v>CNY</v>
          </cell>
          <cell r="J436" t="str">
            <v/>
          </cell>
          <cell r="K436" t="str">
            <v/>
          </cell>
          <cell r="L436" t="str">
            <v/>
          </cell>
        </row>
        <row r="437">
          <cell r="A437" t="str">
            <v>120024197</v>
          </cell>
          <cell r="B437" t="str">
            <v>C199</v>
          </cell>
          <cell r="C437" t="str">
            <v>10</v>
          </cell>
          <cell r="D437" t="str">
            <v>10</v>
          </cell>
          <cell r="E437" t="str">
            <v>100</v>
          </cell>
          <cell r="F437" t="str">
            <v/>
          </cell>
          <cell r="G437" t="str">
            <v/>
          </cell>
          <cell r="H437">
            <v>0</v>
          </cell>
          <cell r="I437" t="str">
            <v>CNY</v>
          </cell>
          <cell r="J437" t="str">
            <v/>
          </cell>
          <cell r="K437" t="str">
            <v/>
          </cell>
          <cell r="L437" t="str">
            <v/>
          </cell>
        </row>
        <row r="438">
          <cell r="A438" t="str">
            <v>120024230</v>
          </cell>
          <cell r="B438" t="str">
            <v>C199</v>
          </cell>
          <cell r="C438" t="str">
            <v>10</v>
          </cell>
          <cell r="D438" t="str">
            <v>10</v>
          </cell>
          <cell r="E438" t="str">
            <v>100</v>
          </cell>
          <cell r="F438" t="str">
            <v/>
          </cell>
          <cell r="G438" t="str">
            <v/>
          </cell>
          <cell r="H438">
            <v>0</v>
          </cell>
          <cell r="I438" t="str">
            <v>CNY</v>
          </cell>
          <cell r="J438" t="str">
            <v/>
          </cell>
          <cell r="K438" t="str">
            <v/>
          </cell>
          <cell r="L438" t="str">
            <v/>
          </cell>
        </row>
        <row r="439">
          <cell r="A439" t="str">
            <v>120024260</v>
          </cell>
          <cell r="B439" t="str">
            <v>C199</v>
          </cell>
          <cell r="C439" t="str">
            <v>10</v>
          </cell>
          <cell r="D439" t="str">
            <v>10</v>
          </cell>
          <cell r="E439" t="str">
            <v>100</v>
          </cell>
          <cell r="F439" t="str">
            <v/>
          </cell>
          <cell r="G439" t="str">
            <v/>
          </cell>
          <cell r="H439">
            <v>0</v>
          </cell>
          <cell r="I439" t="str">
            <v>CNY</v>
          </cell>
          <cell r="J439" t="str">
            <v/>
          </cell>
          <cell r="K439" t="str">
            <v/>
          </cell>
          <cell r="L439" t="str">
            <v/>
          </cell>
        </row>
        <row r="440">
          <cell r="A440" t="str">
            <v>120024297</v>
          </cell>
          <cell r="B440" t="str">
            <v>C199</v>
          </cell>
          <cell r="C440" t="str">
            <v>10</v>
          </cell>
          <cell r="D440" t="str">
            <v>10</v>
          </cell>
          <cell r="E440" t="str">
            <v>100</v>
          </cell>
          <cell r="F440" t="str">
            <v/>
          </cell>
          <cell r="G440" t="str">
            <v/>
          </cell>
          <cell r="H440">
            <v>0</v>
          </cell>
          <cell r="I440" t="str">
            <v>CNY</v>
          </cell>
          <cell r="J440" t="str">
            <v/>
          </cell>
          <cell r="K440" t="str">
            <v/>
          </cell>
          <cell r="L440" t="str">
            <v/>
          </cell>
        </row>
        <row r="441">
          <cell r="A441" t="str">
            <v>120024298</v>
          </cell>
          <cell r="B441" t="str">
            <v>C199</v>
          </cell>
          <cell r="C441" t="str">
            <v>10</v>
          </cell>
          <cell r="D441" t="str">
            <v>10</v>
          </cell>
          <cell r="E441" t="str">
            <v>100</v>
          </cell>
          <cell r="F441" t="str">
            <v/>
          </cell>
          <cell r="G441" t="str">
            <v/>
          </cell>
          <cell r="H441">
            <v>0</v>
          </cell>
          <cell r="I441" t="str">
            <v>CNY</v>
          </cell>
          <cell r="J441" t="str">
            <v/>
          </cell>
          <cell r="K441" t="str">
            <v/>
          </cell>
          <cell r="L441" t="str">
            <v/>
          </cell>
        </row>
        <row r="442">
          <cell r="A442" t="str">
            <v>120024299</v>
          </cell>
          <cell r="B442" t="str">
            <v>C199</v>
          </cell>
          <cell r="C442" t="str">
            <v>10</v>
          </cell>
          <cell r="D442" t="str">
            <v>10</v>
          </cell>
          <cell r="E442" t="str">
            <v>100</v>
          </cell>
          <cell r="F442" t="str">
            <v/>
          </cell>
          <cell r="G442" t="str">
            <v/>
          </cell>
          <cell r="H442">
            <v>0</v>
          </cell>
          <cell r="I442" t="str">
            <v>CNY</v>
          </cell>
          <cell r="J442" t="str">
            <v/>
          </cell>
          <cell r="K442" t="str">
            <v/>
          </cell>
          <cell r="L442" t="str">
            <v/>
          </cell>
        </row>
        <row r="443">
          <cell r="A443" t="str">
            <v>120024395</v>
          </cell>
          <cell r="B443" t="str">
            <v>C199</v>
          </cell>
          <cell r="C443" t="str">
            <v>10</v>
          </cell>
          <cell r="D443" t="str">
            <v>10</v>
          </cell>
          <cell r="E443" t="str">
            <v>100</v>
          </cell>
          <cell r="F443" t="str">
            <v/>
          </cell>
          <cell r="G443" t="str">
            <v/>
          </cell>
          <cell r="H443">
            <v>0</v>
          </cell>
          <cell r="I443" t="str">
            <v>CNY</v>
          </cell>
          <cell r="J443" t="str">
            <v/>
          </cell>
          <cell r="K443" t="str">
            <v/>
          </cell>
          <cell r="L443" t="str">
            <v/>
          </cell>
        </row>
        <row r="444">
          <cell r="A444" t="str">
            <v>120024448</v>
          </cell>
          <cell r="B444" t="str">
            <v>C199</v>
          </cell>
          <cell r="C444" t="str">
            <v>10</v>
          </cell>
          <cell r="D444" t="str">
            <v>10</v>
          </cell>
          <cell r="E444" t="str">
            <v>100</v>
          </cell>
          <cell r="F444" t="str">
            <v/>
          </cell>
          <cell r="G444" t="str">
            <v/>
          </cell>
          <cell r="H444">
            <v>0</v>
          </cell>
          <cell r="I444" t="str">
            <v>CNY</v>
          </cell>
          <cell r="J444" t="str">
            <v/>
          </cell>
          <cell r="K444" t="str">
            <v/>
          </cell>
          <cell r="L444" t="str">
            <v/>
          </cell>
        </row>
        <row r="445">
          <cell r="A445" t="str">
            <v>120024635</v>
          </cell>
          <cell r="B445" t="str">
            <v>C199</v>
          </cell>
          <cell r="C445" t="str">
            <v>10</v>
          </cell>
          <cell r="D445" t="str">
            <v>10</v>
          </cell>
          <cell r="E445" t="str">
            <v>100</v>
          </cell>
          <cell r="F445" t="str">
            <v/>
          </cell>
          <cell r="G445" t="str">
            <v/>
          </cell>
          <cell r="H445">
            <v>0</v>
          </cell>
          <cell r="I445" t="str">
            <v>CNY</v>
          </cell>
          <cell r="J445" t="str">
            <v/>
          </cell>
          <cell r="K445" t="str">
            <v/>
          </cell>
          <cell r="L445" t="str">
            <v/>
          </cell>
        </row>
        <row r="446">
          <cell r="A446" t="str">
            <v>120024703</v>
          </cell>
          <cell r="B446" t="str">
            <v>C199</v>
          </cell>
          <cell r="C446" t="str">
            <v>10</v>
          </cell>
          <cell r="D446" t="str">
            <v>10</v>
          </cell>
          <cell r="E446" t="str">
            <v>100</v>
          </cell>
          <cell r="F446" t="str">
            <v/>
          </cell>
          <cell r="G446" t="str">
            <v/>
          </cell>
          <cell r="H446">
            <v>0</v>
          </cell>
          <cell r="I446" t="str">
            <v>CNY</v>
          </cell>
          <cell r="J446" t="str">
            <v/>
          </cell>
          <cell r="K446" t="str">
            <v/>
          </cell>
          <cell r="L446" t="str">
            <v/>
          </cell>
        </row>
        <row r="447">
          <cell r="A447" t="str">
            <v>120024951</v>
          </cell>
          <cell r="B447" t="str">
            <v>C199</v>
          </cell>
          <cell r="C447" t="str">
            <v>10</v>
          </cell>
          <cell r="D447" t="str">
            <v>10</v>
          </cell>
          <cell r="E447" t="str">
            <v>100</v>
          </cell>
          <cell r="F447" t="str">
            <v/>
          </cell>
          <cell r="G447" t="str">
            <v/>
          </cell>
          <cell r="H447">
            <v>0</v>
          </cell>
          <cell r="I447" t="str">
            <v>CNY</v>
          </cell>
          <cell r="J447" t="str">
            <v/>
          </cell>
          <cell r="K447" t="str">
            <v/>
          </cell>
          <cell r="L447" t="str">
            <v/>
          </cell>
        </row>
        <row r="448">
          <cell r="A448" t="str">
            <v>120024964</v>
          </cell>
          <cell r="B448" t="str">
            <v>C199</v>
          </cell>
          <cell r="C448" t="str">
            <v>10</v>
          </cell>
          <cell r="D448" t="str">
            <v>10</v>
          </cell>
          <cell r="E448" t="str">
            <v>100</v>
          </cell>
          <cell r="F448" t="str">
            <v/>
          </cell>
          <cell r="G448" t="str">
            <v/>
          </cell>
          <cell r="H448">
            <v>0</v>
          </cell>
          <cell r="I448" t="str">
            <v>CNY</v>
          </cell>
          <cell r="J448" t="str">
            <v/>
          </cell>
          <cell r="K448" t="str">
            <v/>
          </cell>
          <cell r="L448" t="str">
            <v/>
          </cell>
        </row>
        <row r="449">
          <cell r="A449" t="str">
            <v>120024997</v>
          </cell>
          <cell r="B449" t="str">
            <v>C199</v>
          </cell>
          <cell r="C449" t="str">
            <v>10</v>
          </cell>
          <cell r="D449" t="str">
            <v>10</v>
          </cell>
          <cell r="E449" t="str">
            <v>100</v>
          </cell>
          <cell r="F449" t="str">
            <v/>
          </cell>
          <cell r="G449" t="str">
            <v/>
          </cell>
          <cell r="H449">
            <v>0</v>
          </cell>
          <cell r="I449" t="str">
            <v>CNY</v>
          </cell>
          <cell r="J449" t="str">
            <v/>
          </cell>
          <cell r="K449" t="str">
            <v/>
          </cell>
          <cell r="L449" t="str">
            <v/>
          </cell>
        </row>
        <row r="450">
          <cell r="A450" t="str">
            <v>120025018</v>
          </cell>
          <cell r="B450" t="str">
            <v>C199</v>
          </cell>
          <cell r="C450" t="str">
            <v>10</v>
          </cell>
          <cell r="D450" t="str">
            <v>10</v>
          </cell>
          <cell r="E450" t="str">
            <v>100</v>
          </cell>
          <cell r="F450" t="str">
            <v/>
          </cell>
          <cell r="G450" t="str">
            <v/>
          </cell>
          <cell r="H450">
            <v>0</v>
          </cell>
          <cell r="I450" t="str">
            <v>CNY</v>
          </cell>
          <cell r="J450" t="str">
            <v/>
          </cell>
          <cell r="K450" t="str">
            <v/>
          </cell>
          <cell r="L450" t="str">
            <v/>
          </cell>
        </row>
        <row r="451">
          <cell r="A451" t="str">
            <v>120025200</v>
          </cell>
          <cell r="B451" t="str">
            <v>C074</v>
          </cell>
          <cell r="C451" t="str">
            <v>10</v>
          </cell>
          <cell r="D451" t="str">
            <v>10</v>
          </cell>
          <cell r="E451" t="str">
            <v>100</v>
          </cell>
          <cell r="F451" t="str">
            <v/>
          </cell>
          <cell r="G451" t="str">
            <v/>
          </cell>
          <cell r="H451">
            <v>0</v>
          </cell>
          <cell r="I451" t="str">
            <v>KRW</v>
          </cell>
          <cell r="J451" t="str">
            <v/>
          </cell>
          <cell r="K451" t="str">
            <v/>
          </cell>
          <cell r="L451" t="str">
            <v/>
          </cell>
        </row>
        <row r="452">
          <cell r="A452" t="str">
            <v>120025202</v>
          </cell>
          <cell r="B452" t="str">
            <v>C074</v>
          </cell>
          <cell r="C452" t="str">
            <v>10</v>
          </cell>
          <cell r="D452" t="str">
            <v>10</v>
          </cell>
          <cell r="E452" t="str">
            <v>100</v>
          </cell>
          <cell r="F452" t="str">
            <v/>
          </cell>
          <cell r="G452" t="str">
            <v/>
          </cell>
          <cell r="H452">
            <v>0</v>
          </cell>
          <cell r="I452" t="str">
            <v>KRW</v>
          </cell>
          <cell r="J452" t="str">
            <v/>
          </cell>
          <cell r="K452" t="str">
            <v/>
          </cell>
          <cell r="L452" t="str">
            <v/>
          </cell>
        </row>
        <row r="453">
          <cell r="A453" t="str">
            <v>120025229</v>
          </cell>
          <cell r="B453" t="str">
            <v>C074</v>
          </cell>
          <cell r="C453" t="str">
            <v>10</v>
          </cell>
          <cell r="D453" t="str">
            <v>10</v>
          </cell>
          <cell r="E453" t="str">
            <v>100</v>
          </cell>
          <cell r="F453" t="str">
            <v/>
          </cell>
          <cell r="G453" t="str">
            <v/>
          </cell>
          <cell r="H453">
            <v>0</v>
          </cell>
          <cell r="I453" t="str">
            <v>KRW</v>
          </cell>
          <cell r="J453" t="str">
            <v/>
          </cell>
          <cell r="K453" t="str">
            <v/>
          </cell>
          <cell r="L453" t="str">
            <v/>
          </cell>
        </row>
        <row r="454">
          <cell r="A454" t="str">
            <v>120025230</v>
          </cell>
          <cell r="B454" t="str">
            <v>C074</v>
          </cell>
          <cell r="C454" t="str">
            <v>10</v>
          </cell>
          <cell r="D454" t="str">
            <v>10</v>
          </cell>
          <cell r="E454" t="str">
            <v>100</v>
          </cell>
          <cell r="F454" t="str">
            <v/>
          </cell>
          <cell r="G454" t="str">
            <v/>
          </cell>
          <cell r="H454">
            <v>0</v>
          </cell>
          <cell r="I454" t="str">
            <v>KRW</v>
          </cell>
          <cell r="J454" t="str">
            <v/>
          </cell>
          <cell r="K454" t="str">
            <v/>
          </cell>
          <cell r="L454" t="str">
            <v/>
          </cell>
        </row>
        <row r="455">
          <cell r="A455" t="str">
            <v>120025330</v>
          </cell>
          <cell r="B455" t="str">
            <v>C199</v>
          </cell>
          <cell r="C455" t="str">
            <v>10</v>
          </cell>
          <cell r="D455" t="str">
            <v>10</v>
          </cell>
          <cell r="E455" t="str">
            <v>100</v>
          </cell>
          <cell r="F455" t="str">
            <v/>
          </cell>
          <cell r="G455" t="str">
            <v/>
          </cell>
          <cell r="H455">
            <v>0</v>
          </cell>
          <cell r="I455" t="str">
            <v>CNY</v>
          </cell>
          <cell r="J455" t="str">
            <v/>
          </cell>
          <cell r="K455" t="str">
            <v/>
          </cell>
          <cell r="L455" t="str">
            <v/>
          </cell>
        </row>
        <row r="456">
          <cell r="A456" t="str">
            <v>120025334</v>
          </cell>
          <cell r="B456" t="str">
            <v>C199</v>
          </cell>
          <cell r="C456" t="str">
            <v>10</v>
          </cell>
          <cell r="D456" t="str">
            <v>10</v>
          </cell>
          <cell r="E456" t="str">
            <v>100</v>
          </cell>
          <cell r="F456" t="str">
            <v/>
          </cell>
          <cell r="G456" t="str">
            <v/>
          </cell>
          <cell r="H456">
            <v>0</v>
          </cell>
          <cell r="I456" t="str">
            <v>CNY</v>
          </cell>
          <cell r="J456" t="str">
            <v/>
          </cell>
          <cell r="K456" t="str">
            <v/>
          </cell>
          <cell r="L456" t="str">
            <v/>
          </cell>
        </row>
        <row r="457">
          <cell r="A457" t="str">
            <v>120025384</v>
          </cell>
          <cell r="B457" t="str">
            <v>C199</v>
          </cell>
          <cell r="C457" t="str">
            <v>10</v>
          </cell>
          <cell r="D457" t="str">
            <v>10</v>
          </cell>
          <cell r="E457" t="str">
            <v>100</v>
          </cell>
          <cell r="F457" t="str">
            <v/>
          </cell>
          <cell r="G457" t="str">
            <v/>
          </cell>
          <cell r="H457">
            <v>0</v>
          </cell>
          <cell r="I457" t="str">
            <v>CNY</v>
          </cell>
          <cell r="J457" t="str">
            <v/>
          </cell>
          <cell r="K457" t="str">
            <v/>
          </cell>
          <cell r="L457" t="str">
            <v/>
          </cell>
        </row>
        <row r="458">
          <cell r="A458" t="str">
            <v>120025559</v>
          </cell>
          <cell r="B458" t="str">
            <v>C199</v>
          </cell>
          <cell r="C458" t="str">
            <v>10</v>
          </cell>
          <cell r="D458" t="str">
            <v>10</v>
          </cell>
          <cell r="E458" t="str">
            <v>100</v>
          </cell>
          <cell r="F458" t="str">
            <v/>
          </cell>
          <cell r="G458" t="str">
            <v/>
          </cell>
          <cell r="H458">
            <v>0</v>
          </cell>
          <cell r="I458" t="str">
            <v>CNY</v>
          </cell>
          <cell r="J458" t="str">
            <v/>
          </cell>
          <cell r="K458" t="str">
            <v/>
          </cell>
          <cell r="L458" t="str">
            <v/>
          </cell>
        </row>
        <row r="459">
          <cell r="A459" t="str">
            <v>120026083</v>
          </cell>
          <cell r="B459" t="str">
            <v>C199</v>
          </cell>
          <cell r="C459" t="str">
            <v>10</v>
          </cell>
          <cell r="D459" t="str">
            <v>10</v>
          </cell>
          <cell r="E459" t="str">
            <v>100</v>
          </cell>
          <cell r="F459" t="str">
            <v/>
          </cell>
          <cell r="G459" t="str">
            <v/>
          </cell>
          <cell r="H459">
            <v>0</v>
          </cell>
          <cell r="I459" t="str">
            <v>CNY</v>
          </cell>
          <cell r="J459" t="str">
            <v/>
          </cell>
          <cell r="K459" t="str">
            <v/>
          </cell>
          <cell r="L459" t="str">
            <v/>
          </cell>
        </row>
        <row r="460">
          <cell r="A460" t="str">
            <v>120026500</v>
          </cell>
          <cell r="B460" t="str">
            <v>C199</v>
          </cell>
          <cell r="C460" t="str">
            <v>10</v>
          </cell>
          <cell r="D460" t="str">
            <v>10</v>
          </cell>
          <cell r="E460" t="str">
            <v>100</v>
          </cell>
          <cell r="F460" t="str">
            <v/>
          </cell>
          <cell r="G460" t="str">
            <v/>
          </cell>
          <cell r="H460">
            <v>0</v>
          </cell>
          <cell r="I460" t="str">
            <v>CNY</v>
          </cell>
          <cell r="J460" t="str">
            <v/>
          </cell>
          <cell r="K460" t="str">
            <v/>
          </cell>
          <cell r="L460" t="str">
            <v/>
          </cell>
        </row>
        <row r="461">
          <cell r="A461" t="str">
            <v>120026582</v>
          </cell>
          <cell r="B461" t="str">
            <v>C199</v>
          </cell>
          <cell r="C461" t="str">
            <v>10</v>
          </cell>
          <cell r="D461" t="str">
            <v>10</v>
          </cell>
          <cell r="E461" t="str">
            <v>100</v>
          </cell>
          <cell r="F461" t="str">
            <v/>
          </cell>
          <cell r="G461" t="str">
            <v/>
          </cell>
          <cell r="H461">
            <v>0</v>
          </cell>
          <cell r="I461" t="str">
            <v>CNY</v>
          </cell>
          <cell r="J461" t="str">
            <v/>
          </cell>
          <cell r="K461" t="str">
            <v/>
          </cell>
          <cell r="L461" t="str">
            <v/>
          </cell>
        </row>
        <row r="462">
          <cell r="A462" t="str">
            <v>120026676</v>
          </cell>
          <cell r="B462" t="str">
            <v>C199</v>
          </cell>
          <cell r="C462" t="str">
            <v>10</v>
          </cell>
          <cell r="D462" t="str">
            <v>10</v>
          </cell>
          <cell r="E462" t="str">
            <v>100</v>
          </cell>
          <cell r="F462" t="str">
            <v/>
          </cell>
          <cell r="G462" t="str">
            <v/>
          </cell>
          <cell r="H462">
            <v>0</v>
          </cell>
          <cell r="I462" t="str">
            <v>CNY</v>
          </cell>
          <cell r="J462" t="str">
            <v/>
          </cell>
          <cell r="K462" t="str">
            <v/>
          </cell>
          <cell r="L462" t="str">
            <v/>
          </cell>
        </row>
        <row r="463">
          <cell r="A463" t="str">
            <v>120026700</v>
          </cell>
          <cell r="B463" t="str">
            <v>C199</v>
          </cell>
          <cell r="C463" t="str">
            <v>10</v>
          </cell>
          <cell r="D463" t="str">
            <v>10</v>
          </cell>
          <cell r="E463" t="str">
            <v>100</v>
          </cell>
          <cell r="F463" t="str">
            <v/>
          </cell>
          <cell r="G463" t="str">
            <v/>
          </cell>
          <cell r="H463">
            <v>0</v>
          </cell>
          <cell r="I463" t="str">
            <v>CNY</v>
          </cell>
          <cell r="J463" t="str">
            <v/>
          </cell>
          <cell r="K463" t="str">
            <v/>
          </cell>
          <cell r="L463" t="str">
            <v/>
          </cell>
        </row>
        <row r="464">
          <cell r="A464" t="str">
            <v>120026711</v>
          </cell>
          <cell r="B464" t="str">
            <v>C199</v>
          </cell>
          <cell r="C464" t="str">
            <v>10</v>
          </cell>
          <cell r="D464" t="str">
            <v>10</v>
          </cell>
          <cell r="E464" t="str">
            <v>100</v>
          </cell>
          <cell r="F464" t="str">
            <v/>
          </cell>
          <cell r="G464" t="str">
            <v/>
          </cell>
          <cell r="H464">
            <v>0</v>
          </cell>
          <cell r="I464" t="str">
            <v>CNY</v>
          </cell>
          <cell r="J464" t="str">
            <v/>
          </cell>
          <cell r="K464" t="str">
            <v/>
          </cell>
          <cell r="L464" t="str">
            <v/>
          </cell>
        </row>
        <row r="465">
          <cell r="A465" t="str">
            <v>120026826</v>
          </cell>
          <cell r="B465" t="str">
            <v>C199</v>
          </cell>
          <cell r="C465" t="str">
            <v>10</v>
          </cell>
          <cell r="D465" t="str">
            <v>10</v>
          </cell>
          <cell r="E465" t="str">
            <v>100</v>
          </cell>
          <cell r="F465" t="str">
            <v/>
          </cell>
          <cell r="G465" t="str">
            <v/>
          </cell>
          <cell r="H465">
            <v>0</v>
          </cell>
          <cell r="I465" t="str">
            <v>CNY</v>
          </cell>
          <cell r="J465" t="str">
            <v/>
          </cell>
          <cell r="K465" t="str">
            <v/>
          </cell>
          <cell r="L465" t="str">
            <v/>
          </cell>
        </row>
        <row r="466">
          <cell r="A466" t="str">
            <v>120026998</v>
          </cell>
          <cell r="B466" t="str">
            <v>C199</v>
          </cell>
          <cell r="C466" t="str">
            <v>10</v>
          </cell>
          <cell r="D466" t="str">
            <v>10</v>
          </cell>
          <cell r="E466" t="str">
            <v>100</v>
          </cell>
          <cell r="F466" t="str">
            <v/>
          </cell>
          <cell r="G466" t="str">
            <v/>
          </cell>
          <cell r="H466">
            <v>0</v>
          </cell>
          <cell r="I466" t="str">
            <v>CNY</v>
          </cell>
          <cell r="J466" t="str">
            <v/>
          </cell>
          <cell r="K466" t="str">
            <v/>
          </cell>
          <cell r="L466" t="str">
            <v/>
          </cell>
        </row>
        <row r="467">
          <cell r="A467" t="str">
            <v>120027130</v>
          </cell>
          <cell r="B467" t="str">
            <v>C199</v>
          </cell>
          <cell r="C467" t="str">
            <v>10</v>
          </cell>
          <cell r="D467" t="str">
            <v>10</v>
          </cell>
          <cell r="E467" t="str">
            <v>100</v>
          </cell>
          <cell r="F467" t="str">
            <v/>
          </cell>
          <cell r="G467" t="str">
            <v/>
          </cell>
          <cell r="H467">
            <v>0</v>
          </cell>
          <cell r="I467" t="str">
            <v>CNY</v>
          </cell>
          <cell r="J467" t="str">
            <v/>
          </cell>
          <cell r="K467" t="str">
            <v/>
          </cell>
          <cell r="L467" t="str">
            <v/>
          </cell>
        </row>
        <row r="468">
          <cell r="A468" t="str">
            <v>120027141</v>
          </cell>
          <cell r="B468" t="str">
            <v>C042</v>
          </cell>
          <cell r="C468" t="str">
            <v>10</v>
          </cell>
          <cell r="D468" t="str">
            <v>10</v>
          </cell>
          <cell r="E468" t="str">
            <v>100</v>
          </cell>
          <cell r="F468" t="str">
            <v/>
          </cell>
          <cell r="G468" t="str">
            <v/>
          </cell>
          <cell r="H468">
            <v>0</v>
          </cell>
          <cell r="I468" t="str">
            <v>INR</v>
          </cell>
          <cell r="J468" t="str">
            <v/>
          </cell>
          <cell r="K468" t="str">
            <v/>
          </cell>
          <cell r="L468" t="str">
            <v/>
          </cell>
        </row>
        <row r="469">
          <cell r="A469" t="str">
            <v>120027142</v>
          </cell>
          <cell r="B469" t="str">
            <v>C042</v>
          </cell>
          <cell r="C469" t="str">
            <v>10</v>
          </cell>
          <cell r="D469" t="str">
            <v>10</v>
          </cell>
          <cell r="E469" t="str">
            <v>100</v>
          </cell>
          <cell r="F469" t="str">
            <v/>
          </cell>
          <cell r="G469" t="str">
            <v/>
          </cell>
          <cell r="H469">
            <v>0</v>
          </cell>
          <cell r="I469" t="str">
            <v>INR</v>
          </cell>
          <cell r="J469" t="str">
            <v/>
          </cell>
          <cell r="K469" t="str">
            <v/>
          </cell>
          <cell r="L469" t="str">
            <v/>
          </cell>
        </row>
        <row r="470">
          <cell r="A470" t="str">
            <v>120027212</v>
          </cell>
          <cell r="B470" t="str">
            <v>C199</v>
          </cell>
          <cell r="C470" t="str">
            <v>10</v>
          </cell>
          <cell r="D470" t="str">
            <v>10</v>
          </cell>
          <cell r="E470" t="str">
            <v>100</v>
          </cell>
          <cell r="F470" t="str">
            <v/>
          </cell>
          <cell r="G470" t="str">
            <v/>
          </cell>
          <cell r="H470">
            <v>0</v>
          </cell>
          <cell r="I470" t="str">
            <v>CNY</v>
          </cell>
          <cell r="J470" t="str">
            <v/>
          </cell>
          <cell r="K470" t="str">
            <v/>
          </cell>
          <cell r="L470" t="str">
            <v/>
          </cell>
        </row>
        <row r="471">
          <cell r="A471" t="str">
            <v>120027234</v>
          </cell>
          <cell r="B471" t="str">
            <v>C199</v>
          </cell>
          <cell r="C471" t="str">
            <v>10</v>
          </cell>
          <cell r="D471" t="str">
            <v>10</v>
          </cell>
          <cell r="E471" t="str">
            <v>100</v>
          </cell>
          <cell r="F471" t="str">
            <v/>
          </cell>
          <cell r="G471" t="str">
            <v/>
          </cell>
          <cell r="H471">
            <v>0</v>
          </cell>
          <cell r="I471" t="str">
            <v>CNY</v>
          </cell>
          <cell r="J471" t="str">
            <v/>
          </cell>
          <cell r="K471" t="str">
            <v/>
          </cell>
          <cell r="L471" t="str">
            <v/>
          </cell>
        </row>
        <row r="472">
          <cell r="A472" t="str">
            <v>120027251</v>
          </cell>
          <cell r="B472" t="str">
            <v>C199</v>
          </cell>
          <cell r="C472" t="str">
            <v>10</v>
          </cell>
          <cell r="D472" t="str">
            <v>10</v>
          </cell>
          <cell r="E472" t="str">
            <v>100</v>
          </cell>
          <cell r="F472" t="str">
            <v/>
          </cell>
          <cell r="G472" t="str">
            <v/>
          </cell>
          <cell r="H472">
            <v>0</v>
          </cell>
          <cell r="I472" t="str">
            <v>CNY</v>
          </cell>
          <cell r="J472" t="str">
            <v/>
          </cell>
          <cell r="K472" t="str">
            <v/>
          </cell>
          <cell r="L472" t="str">
            <v/>
          </cell>
        </row>
        <row r="473">
          <cell r="A473" t="str">
            <v>120027276</v>
          </cell>
          <cell r="B473" t="str">
            <v>C199</v>
          </cell>
          <cell r="C473" t="str">
            <v>10</v>
          </cell>
          <cell r="D473" t="str">
            <v>10</v>
          </cell>
          <cell r="E473" t="str">
            <v>100</v>
          </cell>
          <cell r="F473" t="str">
            <v/>
          </cell>
          <cell r="G473" t="str">
            <v/>
          </cell>
          <cell r="H473">
            <v>0</v>
          </cell>
          <cell r="I473" t="str">
            <v>CNY</v>
          </cell>
          <cell r="J473" t="str">
            <v/>
          </cell>
          <cell r="K473" t="str">
            <v/>
          </cell>
          <cell r="L473" t="str">
            <v/>
          </cell>
        </row>
        <row r="474">
          <cell r="A474" t="str">
            <v>120027293</v>
          </cell>
          <cell r="B474" t="str">
            <v>C199</v>
          </cell>
          <cell r="C474" t="str">
            <v>10</v>
          </cell>
          <cell r="D474" t="str">
            <v>10</v>
          </cell>
          <cell r="E474" t="str">
            <v>100</v>
          </cell>
          <cell r="F474" t="str">
            <v/>
          </cell>
          <cell r="G474" t="str">
            <v/>
          </cell>
          <cell r="H474">
            <v>0</v>
          </cell>
          <cell r="I474" t="str">
            <v>CNY</v>
          </cell>
          <cell r="J474" t="str">
            <v/>
          </cell>
          <cell r="K474" t="str">
            <v/>
          </cell>
          <cell r="L474" t="str">
            <v/>
          </cell>
        </row>
        <row r="475">
          <cell r="A475" t="str">
            <v>120027528</v>
          </cell>
          <cell r="B475" t="str">
            <v>C199</v>
          </cell>
          <cell r="C475" t="str">
            <v>10</v>
          </cell>
          <cell r="D475" t="str">
            <v>10</v>
          </cell>
          <cell r="E475" t="str">
            <v>100</v>
          </cell>
          <cell r="F475" t="str">
            <v/>
          </cell>
          <cell r="G475" t="str">
            <v/>
          </cell>
          <cell r="H475">
            <v>0</v>
          </cell>
          <cell r="I475" t="str">
            <v>CNY</v>
          </cell>
          <cell r="J475" t="str">
            <v/>
          </cell>
          <cell r="K475" t="str">
            <v/>
          </cell>
          <cell r="L475" t="str">
            <v/>
          </cell>
        </row>
        <row r="476">
          <cell r="A476" t="str">
            <v>120027703</v>
          </cell>
          <cell r="B476" t="str">
            <v>C199</v>
          </cell>
          <cell r="C476" t="str">
            <v>10</v>
          </cell>
          <cell r="D476" t="str">
            <v>10</v>
          </cell>
          <cell r="E476" t="str">
            <v>100</v>
          </cell>
          <cell r="F476" t="str">
            <v/>
          </cell>
          <cell r="G476" t="str">
            <v/>
          </cell>
          <cell r="H476">
            <v>0</v>
          </cell>
          <cell r="I476" t="str">
            <v>CNY</v>
          </cell>
          <cell r="J476" t="str">
            <v/>
          </cell>
          <cell r="K476" t="str">
            <v/>
          </cell>
          <cell r="L476" t="str">
            <v/>
          </cell>
        </row>
        <row r="477">
          <cell r="A477" t="str">
            <v>120027869</v>
          </cell>
          <cell r="B477" t="str">
            <v>C199</v>
          </cell>
          <cell r="C477" t="str">
            <v>10</v>
          </cell>
          <cell r="D477" t="str">
            <v>10</v>
          </cell>
          <cell r="E477" t="str">
            <v>100</v>
          </cell>
          <cell r="F477" t="str">
            <v/>
          </cell>
          <cell r="G477" t="str">
            <v/>
          </cell>
          <cell r="H477">
            <v>0</v>
          </cell>
          <cell r="I477" t="str">
            <v>CNY</v>
          </cell>
          <cell r="J477" t="str">
            <v/>
          </cell>
          <cell r="K477" t="str">
            <v/>
          </cell>
          <cell r="L477" t="str">
            <v/>
          </cell>
        </row>
        <row r="478">
          <cell r="A478" t="str">
            <v>120027891</v>
          </cell>
          <cell r="B478" t="str">
            <v>C042</v>
          </cell>
          <cell r="C478" t="str">
            <v>10</v>
          </cell>
          <cell r="D478" t="str">
            <v>10</v>
          </cell>
          <cell r="E478" t="str">
            <v>100</v>
          </cell>
          <cell r="F478" t="str">
            <v/>
          </cell>
          <cell r="G478" t="str">
            <v/>
          </cell>
          <cell r="H478">
            <v>0</v>
          </cell>
          <cell r="I478" t="str">
            <v>INR</v>
          </cell>
          <cell r="J478" t="str">
            <v/>
          </cell>
          <cell r="K478" t="str">
            <v/>
          </cell>
          <cell r="L478" t="str">
            <v/>
          </cell>
        </row>
        <row r="479">
          <cell r="A479" t="str">
            <v>120027891</v>
          </cell>
          <cell r="B479" t="str">
            <v>C199</v>
          </cell>
          <cell r="C479" t="str">
            <v>10</v>
          </cell>
          <cell r="D479" t="str">
            <v>10</v>
          </cell>
          <cell r="E479" t="str">
            <v>100</v>
          </cell>
          <cell r="F479" t="str">
            <v/>
          </cell>
          <cell r="G479" t="str">
            <v/>
          </cell>
          <cell r="H479">
            <v>0</v>
          </cell>
          <cell r="I479" t="str">
            <v>CNY</v>
          </cell>
          <cell r="J479" t="str">
            <v/>
          </cell>
          <cell r="K479" t="str">
            <v/>
          </cell>
          <cell r="L479" t="str">
            <v/>
          </cell>
        </row>
        <row r="480">
          <cell r="A480" t="str">
            <v>120027935</v>
          </cell>
          <cell r="B480" t="str">
            <v>C199</v>
          </cell>
          <cell r="C480" t="str">
            <v>10</v>
          </cell>
          <cell r="D480" t="str">
            <v>10</v>
          </cell>
          <cell r="E480" t="str">
            <v>100</v>
          </cell>
          <cell r="F480" t="str">
            <v/>
          </cell>
          <cell r="G480" t="str">
            <v/>
          </cell>
          <cell r="H480">
            <v>0</v>
          </cell>
          <cell r="I480" t="str">
            <v>CNY</v>
          </cell>
          <cell r="J480" t="str">
            <v/>
          </cell>
          <cell r="K480" t="str">
            <v/>
          </cell>
          <cell r="L480" t="str">
            <v/>
          </cell>
        </row>
        <row r="481">
          <cell r="A481" t="str">
            <v>120027991</v>
          </cell>
          <cell r="B481" t="str">
            <v>C199</v>
          </cell>
          <cell r="C481" t="str">
            <v>10</v>
          </cell>
          <cell r="D481" t="str">
            <v>10</v>
          </cell>
          <cell r="E481" t="str">
            <v>100</v>
          </cell>
          <cell r="F481" t="str">
            <v/>
          </cell>
          <cell r="G481" t="str">
            <v/>
          </cell>
          <cell r="H481">
            <v>0</v>
          </cell>
          <cell r="I481" t="str">
            <v>CNY</v>
          </cell>
          <cell r="J481" t="str">
            <v/>
          </cell>
          <cell r="K481" t="str">
            <v/>
          </cell>
          <cell r="L481" t="str">
            <v/>
          </cell>
        </row>
        <row r="482">
          <cell r="A482" t="str">
            <v>120028171</v>
          </cell>
          <cell r="B482" t="str">
            <v>C199</v>
          </cell>
          <cell r="C482" t="str">
            <v>10</v>
          </cell>
          <cell r="D482" t="str">
            <v>10</v>
          </cell>
          <cell r="E482" t="str">
            <v>100</v>
          </cell>
          <cell r="F482" t="str">
            <v/>
          </cell>
          <cell r="G482" t="str">
            <v/>
          </cell>
          <cell r="H482">
            <v>0</v>
          </cell>
          <cell r="I482" t="str">
            <v>CNY</v>
          </cell>
          <cell r="J482" t="str">
            <v/>
          </cell>
          <cell r="K482" t="str">
            <v/>
          </cell>
          <cell r="L482" t="str">
            <v/>
          </cell>
        </row>
        <row r="483">
          <cell r="A483" t="str">
            <v>120028292</v>
          </cell>
          <cell r="B483" t="str">
            <v>C074</v>
          </cell>
          <cell r="C483" t="str">
            <v>10</v>
          </cell>
          <cell r="D483" t="str">
            <v>10</v>
          </cell>
          <cell r="E483" t="str">
            <v>100</v>
          </cell>
          <cell r="F483" t="str">
            <v/>
          </cell>
          <cell r="G483" t="str">
            <v/>
          </cell>
          <cell r="H483">
            <v>0</v>
          </cell>
          <cell r="I483" t="str">
            <v>KRW</v>
          </cell>
          <cell r="J483" t="str">
            <v/>
          </cell>
          <cell r="K483" t="str">
            <v/>
          </cell>
          <cell r="L483" t="str">
            <v/>
          </cell>
        </row>
        <row r="484">
          <cell r="A484" t="str">
            <v>120028368</v>
          </cell>
          <cell r="B484" t="str">
            <v>C199</v>
          </cell>
          <cell r="C484" t="str">
            <v>10</v>
          </cell>
          <cell r="D484" t="str">
            <v>10</v>
          </cell>
          <cell r="E484" t="str">
            <v>100</v>
          </cell>
          <cell r="F484" t="str">
            <v/>
          </cell>
          <cell r="G484" t="str">
            <v/>
          </cell>
          <cell r="H484">
            <v>0</v>
          </cell>
          <cell r="I484" t="str">
            <v>CNY</v>
          </cell>
          <cell r="J484" t="str">
            <v/>
          </cell>
          <cell r="K484" t="str">
            <v/>
          </cell>
          <cell r="L484" t="str">
            <v/>
          </cell>
        </row>
        <row r="485">
          <cell r="A485" t="str">
            <v>120028533</v>
          </cell>
          <cell r="B485" t="str">
            <v>C199</v>
          </cell>
          <cell r="C485" t="str">
            <v>10</v>
          </cell>
          <cell r="D485" t="str">
            <v>10</v>
          </cell>
          <cell r="E485" t="str">
            <v>100</v>
          </cell>
          <cell r="F485" t="str">
            <v/>
          </cell>
          <cell r="G485" t="str">
            <v/>
          </cell>
          <cell r="H485">
            <v>0</v>
          </cell>
          <cell r="I485" t="str">
            <v>CNY</v>
          </cell>
          <cell r="J485" t="str">
            <v/>
          </cell>
          <cell r="K485" t="str">
            <v/>
          </cell>
          <cell r="L485" t="str">
            <v/>
          </cell>
        </row>
        <row r="486">
          <cell r="A486" t="str">
            <v>120028779</v>
          </cell>
          <cell r="B486" t="str">
            <v>C199</v>
          </cell>
          <cell r="C486" t="str">
            <v>10</v>
          </cell>
          <cell r="D486" t="str">
            <v>10</v>
          </cell>
          <cell r="E486" t="str">
            <v>100</v>
          </cell>
          <cell r="F486" t="str">
            <v/>
          </cell>
          <cell r="G486" t="str">
            <v/>
          </cell>
          <cell r="H486">
            <v>0</v>
          </cell>
          <cell r="I486" t="str">
            <v>CNY</v>
          </cell>
          <cell r="J486" t="str">
            <v/>
          </cell>
          <cell r="K486" t="str">
            <v/>
          </cell>
          <cell r="L486" t="str">
            <v/>
          </cell>
        </row>
        <row r="487">
          <cell r="A487" t="str">
            <v>120028922</v>
          </cell>
          <cell r="B487" t="str">
            <v>C199</v>
          </cell>
          <cell r="C487" t="str">
            <v>10</v>
          </cell>
          <cell r="D487" t="str">
            <v>10</v>
          </cell>
          <cell r="E487" t="str">
            <v>100</v>
          </cell>
          <cell r="F487" t="str">
            <v/>
          </cell>
          <cell r="G487" t="str">
            <v/>
          </cell>
          <cell r="H487">
            <v>0</v>
          </cell>
          <cell r="I487" t="str">
            <v>CNY</v>
          </cell>
          <cell r="J487" t="str">
            <v/>
          </cell>
          <cell r="K487" t="str">
            <v/>
          </cell>
          <cell r="L487" t="str">
            <v/>
          </cell>
        </row>
        <row r="488">
          <cell r="A488" t="str">
            <v>120029277</v>
          </cell>
          <cell r="B488" t="str">
            <v>C199</v>
          </cell>
          <cell r="C488" t="str">
            <v>10</v>
          </cell>
          <cell r="D488" t="str">
            <v>10</v>
          </cell>
          <cell r="E488" t="str">
            <v>100</v>
          </cell>
          <cell r="F488" t="str">
            <v/>
          </cell>
          <cell r="G488" t="str">
            <v/>
          </cell>
          <cell r="H488">
            <v>0</v>
          </cell>
          <cell r="I488" t="str">
            <v>CNY</v>
          </cell>
          <cell r="J488" t="str">
            <v/>
          </cell>
          <cell r="K488" t="str">
            <v/>
          </cell>
          <cell r="L488" t="str">
            <v/>
          </cell>
        </row>
        <row r="489">
          <cell r="A489" t="str">
            <v>120030367</v>
          </cell>
          <cell r="B489" t="str">
            <v>C199</v>
          </cell>
          <cell r="C489" t="str">
            <v>10</v>
          </cell>
          <cell r="D489" t="str">
            <v>10</v>
          </cell>
          <cell r="E489" t="str">
            <v>100</v>
          </cell>
          <cell r="F489" t="str">
            <v/>
          </cell>
          <cell r="G489" t="str">
            <v/>
          </cell>
          <cell r="H489">
            <v>0</v>
          </cell>
          <cell r="I489" t="str">
            <v>CNY</v>
          </cell>
          <cell r="J489" t="str">
            <v/>
          </cell>
          <cell r="K489" t="str">
            <v/>
          </cell>
          <cell r="L489" t="str">
            <v/>
          </cell>
        </row>
        <row r="490">
          <cell r="A490" t="str">
            <v>120030613</v>
          </cell>
          <cell r="B490" t="str">
            <v>C199</v>
          </cell>
          <cell r="C490" t="str">
            <v>10</v>
          </cell>
          <cell r="D490" t="str">
            <v>10</v>
          </cell>
          <cell r="E490" t="str">
            <v>100</v>
          </cell>
          <cell r="F490" t="str">
            <v/>
          </cell>
          <cell r="G490" t="str">
            <v/>
          </cell>
          <cell r="H490">
            <v>0</v>
          </cell>
          <cell r="I490" t="str">
            <v>CNY</v>
          </cell>
          <cell r="J490" t="str">
            <v/>
          </cell>
          <cell r="K490" t="str">
            <v/>
          </cell>
          <cell r="L490" t="str">
            <v/>
          </cell>
        </row>
        <row r="491">
          <cell r="A491" t="str">
            <v>120030650</v>
          </cell>
          <cell r="B491" t="str">
            <v>C199</v>
          </cell>
          <cell r="C491" t="str">
            <v>10</v>
          </cell>
          <cell r="D491" t="str">
            <v>10</v>
          </cell>
          <cell r="E491" t="str">
            <v>100</v>
          </cell>
          <cell r="F491" t="str">
            <v/>
          </cell>
          <cell r="G491" t="str">
            <v/>
          </cell>
          <cell r="H491">
            <v>0</v>
          </cell>
          <cell r="I491" t="str">
            <v>CNY</v>
          </cell>
          <cell r="J491" t="str">
            <v/>
          </cell>
          <cell r="K491" t="str">
            <v/>
          </cell>
          <cell r="L491" t="str">
            <v/>
          </cell>
        </row>
        <row r="492">
          <cell r="A492" t="str">
            <v>120030879</v>
          </cell>
          <cell r="B492" t="str">
            <v>C199</v>
          </cell>
          <cell r="C492" t="str">
            <v>10</v>
          </cell>
          <cell r="D492" t="str">
            <v>10</v>
          </cell>
          <cell r="E492" t="str">
            <v>100</v>
          </cell>
          <cell r="F492" t="str">
            <v/>
          </cell>
          <cell r="G492" t="str">
            <v/>
          </cell>
          <cell r="H492">
            <v>0</v>
          </cell>
          <cell r="I492" t="str">
            <v>CNY</v>
          </cell>
          <cell r="J492" t="str">
            <v/>
          </cell>
          <cell r="K492" t="str">
            <v/>
          </cell>
          <cell r="L492" t="str">
            <v/>
          </cell>
        </row>
        <row r="493">
          <cell r="A493" t="str">
            <v>120031133</v>
          </cell>
          <cell r="B493" t="str">
            <v>C199</v>
          </cell>
          <cell r="C493" t="str">
            <v>10</v>
          </cell>
          <cell r="D493" t="str">
            <v>10</v>
          </cell>
          <cell r="E493" t="str">
            <v>100</v>
          </cell>
          <cell r="F493" t="str">
            <v/>
          </cell>
          <cell r="G493" t="str">
            <v/>
          </cell>
          <cell r="H493">
            <v>0</v>
          </cell>
          <cell r="I493" t="str">
            <v>CNY</v>
          </cell>
          <cell r="J493" t="str">
            <v/>
          </cell>
          <cell r="K493" t="str">
            <v/>
          </cell>
          <cell r="L493" t="str">
            <v/>
          </cell>
        </row>
        <row r="494">
          <cell r="A494" t="str">
            <v>120031440</v>
          </cell>
          <cell r="B494" t="str">
            <v>C199</v>
          </cell>
          <cell r="C494" t="str">
            <v>10</v>
          </cell>
          <cell r="D494" t="str">
            <v>10</v>
          </cell>
          <cell r="E494" t="str">
            <v>100</v>
          </cell>
          <cell r="F494" t="str">
            <v/>
          </cell>
          <cell r="G494" t="str">
            <v/>
          </cell>
          <cell r="H494">
            <v>0</v>
          </cell>
          <cell r="I494" t="str">
            <v>CNY</v>
          </cell>
          <cell r="J494" t="str">
            <v/>
          </cell>
          <cell r="K494" t="str">
            <v/>
          </cell>
          <cell r="L494" t="str">
            <v/>
          </cell>
        </row>
        <row r="495">
          <cell r="A495" t="str">
            <v>120031706</v>
          </cell>
          <cell r="B495" t="str">
            <v>C199</v>
          </cell>
          <cell r="C495" t="str">
            <v>10</v>
          </cell>
          <cell r="D495" t="str">
            <v>10</v>
          </cell>
          <cell r="E495" t="str">
            <v>100</v>
          </cell>
          <cell r="F495" t="str">
            <v/>
          </cell>
          <cell r="G495" t="str">
            <v/>
          </cell>
          <cell r="H495">
            <v>0</v>
          </cell>
          <cell r="I495" t="str">
            <v>CNY</v>
          </cell>
          <cell r="J495" t="str">
            <v/>
          </cell>
          <cell r="K495" t="str">
            <v/>
          </cell>
          <cell r="L495" t="str">
            <v/>
          </cell>
        </row>
        <row r="496">
          <cell r="A496" t="str">
            <v>120031792</v>
          </cell>
          <cell r="B496" t="str">
            <v>C074</v>
          </cell>
          <cell r="C496" t="str">
            <v>10</v>
          </cell>
          <cell r="D496" t="str">
            <v>10</v>
          </cell>
          <cell r="E496" t="str">
            <v>100</v>
          </cell>
          <cell r="F496" t="str">
            <v/>
          </cell>
          <cell r="G496" t="str">
            <v/>
          </cell>
          <cell r="H496">
            <v>0</v>
          </cell>
          <cell r="I496" t="str">
            <v>KRW</v>
          </cell>
          <cell r="J496" t="str">
            <v/>
          </cell>
          <cell r="K496" t="str">
            <v/>
          </cell>
          <cell r="L496" t="str">
            <v/>
          </cell>
        </row>
        <row r="497">
          <cell r="A497" t="str">
            <v>120031847</v>
          </cell>
          <cell r="B497" t="str">
            <v>C199</v>
          </cell>
          <cell r="C497" t="str">
            <v>10</v>
          </cell>
          <cell r="D497" t="str">
            <v>10</v>
          </cell>
          <cell r="E497" t="str">
            <v>100</v>
          </cell>
          <cell r="F497" t="str">
            <v/>
          </cell>
          <cell r="G497" t="str">
            <v/>
          </cell>
          <cell r="H497">
            <v>0</v>
          </cell>
          <cell r="I497" t="str">
            <v>CNY</v>
          </cell>
          <cell r="J497" t="str">
            <v/>
          </cell>
          <cell r="K497" t="str">
            <v/>
          </cell>
          <cell r="L497" t="str">
            <v/>
          </cell>
        </row>
        <row r="498">
          <cell r="A498" t="str">
            <v>120031944</v>
          </cell>
          <cell r="B498" t="str">
            <v>C199</v>
          </cell>
          <cell r="C498" t="str">
            <v>10</v>
          </cell>
          <cell r="D498" t="str">
            <v>10</v>
          </cell>
          <cell r="E498" t="str">
            <v>100</v>
          </cell>
          <cell r="F498" t="str">
            <v/>
          </cell>
          <cell r="G498" t="str">
            <v/>
          </cell>
          <cell r="H498">
            <v>0</v>
          </cell>
          <cell r="I498" t="str">
            <v>CNY</v>
          </cell>
          <cell r="J498" t="str">
            <v/>
          </cell>
          <cell r="K498" t="str">
            <v/>
          </cell>
          <cell r="L498" t="str">
            <v/>
          </cell>
        </row>
        <row r="499">
          <cell r="A499" t="str">
            <v>120032057</v>
          </cell>
          <cell r="B499" t="str">
            <v>C042</v>
          </cell>
          <cell r="C499" t="str">
            <v>10</v>
          </cell>
          <cell r="D499" t="str">
            <v>10</v>
          </cell>
          <cell r="E499" t="str">
            <v>100</v>
          </cell>
          <cell r="F499" t="str">
            <v/>
          </cell>
          <cell r="G499" t="str">
            <v/>
          </cell>
          <cell r="H499">
            <v>0</v>
          </cell>
          <cell r="I499" t="str">
            <v>INR</v>
          </cell>
          <cell r="J499" t="str">
            <v/>
          </cell>
          <cell r="K499" t="str">
            <v/>
          </cell>
          <cell r="L499" t="str">
            <v/>
          </cell>
        </row>
        <row r="500">
          <cell r="A500" t="str">
            <v>120032057</v>
          </cell>
          <cell r="B500" t="str">
            <v>C199</v>
          </cell>
          <cell r="C500" t="str">
            <v>10</v>
          </cell>
          <cell r="D500" t="str">
            <v>10</v>
          </cell>
          <cell r="E500" t="str">
            <v>100</v>
          </cell>
          <cell r="F500" t="str">
            <v/>
          </cell>
          <cell r="G500" t="str">
            <v/>
          </cell>
          <cell r="H500">
            <v>0</v>
          </cell>
          <cell r="I500" t="str">
            <v>CNY</v>
          </cell>
          <cell r="J500" t="str">
            <v/>
          </cell>
          <cell r="K500" t="str">
            <v/>
          </cell>
          <cell r="L500" t="str">
            <v/>
          </cell>
        </row>
        <row r="501">
          <cell r="A501" t="str">
            <v>120032405</v>
          </cell>
          <cell r="B501" t="str">
            <v>C074</v>
          </cell>
          <cell r="C501" t="str">
            <v>10</v>
          </cell>
          <cell r="D501" t="str">
            <v>10</v>
          </cell>
          <cell r="E501" t="str">
            <v>100</v>
          </cell>
          <cell r="F501" t="str">
            <v/>
          </cell>
          <cell r="G501" t="str">
            <v/>
          </cell>
          <cell r="H501">
            <v>0</v>
          </cell>
          <cell r="I501" t="str">
            <v>KRW</v>
          </cell>
          <cell r="J501" t="str">
            <v/>
          </cell>
          <cell r="K501" t="str">
            <v/>
          </cell>
          <cell r="L501" t="str">
            <v/>
          </cell>
        </row>
        <row r="502">
          <cell r="A502" t="str">
            <v>120032415</v>
          </cell>
          <cell r="B502" t="str">
            <v>C074</v>
          </cell>
          <cell r="C502" t="str">
            <v>10</v>
          </cell>
          <cell r="D502" t="str">
            <v>10</v>
          </cell>
          <cell r="E502" t="str">
            <v>100</v>
          </cell>
          <cell r="F502" t="str">
            <v/>
          </cell>
          <cell r="G502" t="str">
            <v/>
          </cell>
          <cell r="H502">
            <v>0</v>
          </cell>
          <cell r="I502" t="str">
            <v>KRW</v>
          </cell>
          <cell r="J502" t="str">
            <v/>
          </cell>
          <cell r="K502" t="str">
            <v/>
          </cell>
          <cell r="L502" t="str">
            <v/>
          </cell>
        </row>
        <row r="503">
          <cell r="A503" t="str">
            <v>120032585</v>
          </cell>
          <cell r="B503" t="str">
            <v>C199</v>
          </cell>
          <cell r="C503" t="str">
            <v>10</v>
          </cell>
          <cell r="D503" t="str">
            <v>10</v>
          </cell>
          <cell r="E503" t="str">
            <v>100</v>
          </cell>
          <cell r="F503" t="str">
            <v/>
          </cell>
          <cell r="G503" t="str">
            <v/>
          </cell>
          <cell r="H503">
            <v>0</v>
          </cell>
          <cell r="I503" t="str">
            <v>CNY</v>
          </cell>
          <cell r="J503" t="str">
            <v/>
          </cell>
          <cell r="K503" t="str">
            <v/>
          </cell>
          <cell r="L503" t="str">
            <v/>
          </cell>
        </row>
        <row r="504">
          <cell r="A504" t="str">
            <v>120032663</v>
          </cell>
          <cell r="B504" t="str">
            <v>C074</v>
          </cell>
          <cell r="C504" t="str">
            <v>10</v>
          </cell>
          <cell r="D504" t="str">
            <v>10</v>
          </cell>
          <cell r="E504" t="str">
            <v>100</v>
          </cell>
          <cell r="F504" t="str">
            <v/>
          </cell>
          <cell r="G504" t="str">
            <v/>
          </cell>
          <cell r="H504">
            <v>0</v>
          </cell>
          <cell r="I504" t="str">
            <v>KRW</v>
          </cell>
          <cell r="J504" t="str">
            <v/>
          </cell>
          <cell r="K504" t="str">
            <v/>
          </cell>
          <cell r="L504" t="str">
            <v/>
          </cell>
        </row>
        <row r="505">
          <cell r="A505" t="str">
            <v>120032664</v>
          </cell>
          <cell r="B505" t="str">
            <v>C074</v>
          </cell>
          <cell r="C505" t="str">
            <v>10</v>
          </cell>
          <cell r="D505" t="str">
            <v>10</v>
          </cell>
          <cell r="E505" t="str">
            <v>100</v>
          </cell>
          <cell r="F505" t="str">
            <v/>
          </cell>
          <cell r="G505" t="str">
            <v/>
          </cell>
          <cell r="H505">
            <v>0</v>
          </cell>
          <cell r="I505" t="str">
            <v>KRW</v>
          </cell>
          <cell r="J505" t="str">
            <v/>
          </cell>
          <cell r="K505" t="str">
            <v/>
          </cell>
          <cell r="L505" t="str">
            <v/>
          </cell>
        </row>
        <row r="506">
          <cell r="A506" t="str">
            <v>120032665</v>
          </cell>
          <cell r="B506" t="str">
            <v>C074</v>
          </cell>
          <cell r="C506" t="str">
            <v>10</v>
          </cell>
          <cell r="D506" t="str">
            <v>10</v>
          </cell>
          <cell r="E506" t="str">
            <v>100</v>
          </cell>
          <cell r="F506" t="str">
            <v/>
          </cell>
          <cell r="G506" t="str">
            <v/>
          </cell>
          <cell r="H506">
            <v>0</v>
          </cell>
          <cell r="I506" t="str">
            <v>KRW</v>
          </cell>
          <cell r="J506" t="str">
            <v/>
          </cell>
          <cell r="K506" t="str">
            <v/>
          </cell>
          <cell r="L506" t="str">
            <v/>
          </cell>
        </row>
        <row r="507">
          <cell r="A507" t="str">
            <v>120032688</v>
          </cell>
          <cell r="B507" t="str">
            <v>C074</v>
          </cell>
          <cell r="C507" t="str">
            <v>10</v>
          </cell>
          <cell r="D507" t="str">
            <v>10</v>
          </cell>
          <cell r="E507" t="str">
            <v>100</v>
          </cell>
          <cell r="F507" t="str">
            <v/>
          </cell>
          <cell r="G507" t="str">
            <v/>
          </cell>
          <cell r="H507">
            <v>0</v>
          </cell>
          <cell r="I507" t="str">
            <v>KRW</v>
          </cell>
          <cell r="J507" t="str">
            <v/>
          </cell>
          <cell r="K507" t="str">
            <v/>
          </cell>
          <cell r="L507" t="str">
            <v/>
          </cell>
        </row>
        <row r="508">
          <cell r="A508" t="str">
            <v>120032691</v>
          </cell>
          <cell r="B508" t="str">
            <v>C074</v>
          </cell>
          <cell r="C508" t="str">
            <v>10</v>
          </cell>
          <cell r="D508" t="str">
            <v>10</v>
          </cell>
          <cell r="E508" t="str">
            <v>100</v>
          </cell>
          <cell r="F508" t="str">
            <v/>
          </cell>
          <cell r="G508" t="str">
            <v/>
          </cell>
          <cell r="H508">
            <v>0</v>
          </cell>
          <cell r="I508" t="str">
            <v>KRW</v>
          </cell>
          <cell r="J508" t="str">
            <v/>
          </cell>
          <cell r="K508" t="str">
            <v/>
          </cell>
          <cell r="L508" t="str">
            <v/>
          </cell>
        </row>
        <row r="509">
          <cell r="A509" t="str">
            <v>120032811</v>
          </cell>
          <cell r="B509" t="str">
            <v>C199</v>
          </cell>
          <cell r="C509" t="str">
            <v>10</v>
          </cell>
          <cell r="D509" t="str">
            <v>10</v>
          </cell>
          <cell r="E509" t="str">
            <v>100</v>
          </cell>
          <cell r="F509" t="str">
            <v/>
          </cell>
          <cell r="G509" t="str">
            <v/>
          </cell>
          <cell r="H509">
            <v>0</v>
          </cell>
          <cell r="I509" t="str">
            <v>CNY</v>
          </cell>
          <cell r="J509" t="str">
            <v/>
          </cell>
          <cell r="K509" t="str">
            <v/>
          </cell>
          <cell r="L509" t="str">
            <v/>
          </cell>
        </row>
        <row r="510">
          <cell r="A510" t="str">
            <v>120032920</v>
          </cell>
          <cell r="B510" t="str">
            <v>C199</v>
          </cell>
          <cell r="C510" t="str">
            <v>10</v>
          </cell>
          <cell r="D510" t="str">
            <v>10</v>
          </cell>
          <cell r="E510" t="str">
            <v>100</v>
          </cell>
          <cell r="F510" t="str">
            <v/>
          </cell>
          <cell r="G510" t="str">
            <v/>
          </cell>
          <cell r="H510">
            <v>0</v>
          </cell>
          <cell r="I510" t="str">
            <v>CNY</v>
          </cell>
          <cell r="J510" t="str">
            <v/>
          </cell>
          <cell r="K510" t="str">
            <v/>
          </cell>
          <cell r="L510" t="str">
            <v/>
          </cell>
        </row>
        <row r="511">
          <cell r="A511" t="str">
            <v>120033476</v>
          </cell>
          <cell r="B511" t="str">
            <v>C199</v>
          </cell>
          <cell r="C511" t="str">
            <v>10</v>
          </cell>
          <cell r="D511" t="str">
            <v>10</v>
          </cell>
          <cell r="E511" t="str">
            <v>100</v>
          </cell>
          <cell r="F511" t="str">
            <v/>
          </cell>
          <cell r="G511" t="str">
            <v/>
          </cell>
          <cell r="H511">
            <v>0</v>
          </cell>
          <cell r="I511" t="str">
            <v>CNY</v>
          </cell>
          <cell r="J511" t="str">
            <v/>
          </cell>
          <cell r="K511" t="str">
            <v/>
          </cell>
          <cell r="L511" t="str">
            <v/>
          </cell>
        </row>
        <row r="512">
          <cell r="A512" t="str">
            <v>120033505</v>
          </cell>
          <cell r="B512" t="str">
            <v>C042</v>
          </cell>
          <cell r="C512" t="str">
            <v>10</v>
          </cell>
          <cell r="D512" t="str">
            <v>10</v>
          </cell>
          <cell r="E512" t="str">
            <v>100</v>
          </cell>
          <cell r="F512" t="str">
            <v/>
          </cell>
          <cell r="G512" t="str">
            <v/>
          </cell>
          <cell r="H512">
            <v>0</v>
          </cell>
          <cell r="I512" t="str">
            <v>INR</v>
          </cell>
          <cell r="J512" t="str">
            <v/>
          </cell>
          <cell r="K512" t="str">
            <v/>
          </cell>
          <cell r="L512" t="str">
            <v/>
          </cell>
        </row>
        <row r="513">
          <cell r="A513" t="str">
            <v>120033929</v>
          </cell>
          <cell r="B513" t="str">
            <v>C199</v>
          </cell>
          <cell r="C513" t="str">
            <v>10</v>
          </cell>
          <cell r="D513" t="str">
            <v>10</v>
          </cell>
          <cell r="E513" t="str">
            <v>100</v>
          </cell>
          <cell r="F513" t="str">
            <v/>
          </cell>
          <cell r="G513" t="str">
            <v/>
          </cell>
          <cell r="H513">
            <v>0</v>
          </cell>
          <cell r="I513" t="str">
            <v>CNY</v>
          </cell>
          <cell r="J513" t="str">
            <v/>
          </cell>
          <cell r="K513" t="str">
            <v/>
          </cell>
          <cell r="L513" t="str">
            <v/>
          </cell>
        </row>
        <row r="514">
          <cell r="A514" t="str">
            <v>120034038</v>
          </cell>
          <cell r="B514" t="str">
            <v>C199</v>
          </cell>
          <cell r="C514" t="str">
            <v>10</v>
          </cell>
          <cell r="D514" t="str">
            <v>10</v>
          </cell>
          <cell r="E514" t="str">
            <v>100</v>
          </cell>
          <cell r="F514" t="str">
            <v/>
          </cell>
          <cell r="G514" t="str">
            <v/>
          </cell>
          <cell r="H514">
            <v>0</v>
          </cell>
          <cell r="I514" t="str">
            <v>CNY</v>
          </cell>
          <cell r="J514" t="str">
            <v/>
          </cell>
          <cell r="K514" t="str">
            <v/>
          </cell>
          <cell r="L514" t="str">
            <v/>
          </cell>
        </row>
        <row r="515">
          <cell r="A515" t="str">
            <v>120034232</v>
          </cell>
          <cell r="B515" t="str">
            <v>C199</v>
          </cell>
          <cell r="C515" t="str">
            <v>10</v>
          </cell>
          <cell r="D515" t="str">
            <v>10</v>
          </cell>
          <cell r="E515" t="str">
            <v>100</v>
          </cell>
          <cell r="F515" t="str">
            <v/>
          </cell>
          <cell r="G515" t="str">
            <v/>
          </cell>
          <cell r="H515">
            <v>0</v>
          </cell>
          <cell r="I515" t="str">
            <v>CNY</v>
          </cell>
          <cell r="J515" t="str">
            <v/>
          </cell>
          <cell r="K515" t="str">
            <v/>
          </cell>
          <cell r="L515" t="str">
            <v/>
          </cell>
        </row>
        <row r="516">
          <cell r="A516" t="str">
            <v>120034341</v>
          </cell>
          <cell r="B516" t="str">
            <v>C074</v>
          </cell>
          <cell r="C516" t="str">
            <v>10</v>
          </cell>
          <cell r="D516" t="str">
            <v>10</v>
          </cell>
          <cell r="E516" t="str">
            <v>100</v>
          </cell>
          <cell r="F516" t="str">
            <v/>
          </cell>
          <cell r="G516" t="str">
            <v/>
          </cell>
          <cell r="H516">
            <v>0</v>
          </cell>
          <cell r="I516" t="str">
            <v>KRW</v>
          </cell>
          <cell r="J516" t="str">
            <v/>
          </cell>
          <cell r="K516" t="str">
            <v/>
          </cell>
          <cell r="L516" t="str">
            <v/>
          </cell>
        </row>
        <row r="517">
          <cell r="A517" t="str">
            <v>188990229</v>
          </cell>
          <cell r="B517" t="str">
            <v>C199</v>
          </cell>
          <cell r="C517" t="str">
            <v>10</v>
          </cell>
          <cell r="D517" t="str">
            <v>10</v>
          </cell>
          <cell r="E517" t="str">
            <v>100</v>
          </cell>
          <cell r="F517" t="str">
            <v/>
          </cell>
          <cell r="G517" t="str">
            <v/>
          </cell>
          <cell r="H517">
            <v>0</v>
          </cell>
          <cell r="I517" t="str">
            <v>CNY</v>
          </cell>
          <cell r="J517" t="str">
            <v/>
          </cell>
          <cell r="K517" t="str">
            <v/>
          </cell>
          <cell r="L517" t="str">
            <v/>
          </cell>
        </row>
        <row r="518">
          <cell r="A518" t="str">
            <v>188990629</v>
          </cell>
          <cell r="B518" t="str">
            <v>C199</v>
          </cell>
          <cell r="C518" t="str">
            <v>10</v>
          </cell>
          <cell r="D518" t="str">
            <v>10</v>
          </cell>
          <cell r="E518" t="str">
            <v>100</v>
          </cell>
          <cell r="F518" t="str">
            <v/>
          </cell>
          <cell r="G518" t="str">
            <v/>
          </cell>
          <cell r="H518">
            <v>0</v>
          </cell>
          <cell r="I518" t="str">
            <v>CNY</v>
          </cell>
          <cell r="J518" t="str">
            <v/>
          </cell>
          <cell r="K518" t="str">
            <v/>
          </cell>
          <cell r="L518" t="str">
            <v/>
          </cell>
        </row>
        <row r="519">
          <cell r="A519" t="str">
            <v>188990963</v>
          </cell>
          <cell r="B519" t="str">
            <v>C074</v>
          </cell>
          <cell r="C519" t="str">
            <v>10</v>
          </cell>
          <cell r="D519" t="str">
            <v>10</v>
          </cell>
          <cell r="E519" t="str">
            <v>100</v>
          </cell>
          <cell r="F519" t="str">
            <v/>
          </cell>
          <cell r="G519" t="str">
            <v/>
          </cell>
          <cell r="H519">
            <v>0</v>
          </cell>
          <cell r="I519" t="str">
            <v>KRW</v>
          </cell>
          <cell r="J519" t="str">
            <v/>
          </cell>
          <cell r="K519" t="str">
            <v/>
          </cell>
          <cell r="L519" t="str">
            <v/>
          </cell>
        </row>
        <row r="520">
          <cell r="A520" t="str">
            <v>188990973</v>
          </cell>
          <cell r="B520" t="str">
            <v>C199</v>
          </cell>
          <cell r="C520" t="str">
            <v>10</v>
          </cell>
          <cell r="D520" t="str">
            <v>10</v>
          </cell>
          <cell r="E520" t="str">
            <v>100</v>
          </cell>
          <cell r="F520" t="str">
            <v/>
          </cell>
          <cell r="G520" t="str">
            <v/>
          </cell>
          <cell r="H520">
            <v>0</v>
          </cell>
          <cell r="I520" t="str">
            <v>CNY</v>
          </cell>
          <cell r="J520" t="str">
            <v/>
          </cell>
          <cell r="K520" t="str">
            <v/>
          </cell>
          <cell r="L520" t="str">
            <v/>
          </cell>
        </row>
        <row r="521">
          <cell r="A521" t="str">
            <v>188991043</v>
          </cell>
          <cell r="B521" t="str">
            <v>C199</v>
          </cell>
          <cell r="C521" t="str">
            <v>10</v>
          </cell>
          <cell r="D521" t="str">
            <v>10</v>
          </cell>
          <cell r="E521" t="str">
            <v>100</v>
          </cell>
          <cell r="F521" t="str">
            <v/>
          </cell>
          <cell r="G521" t="str">
            <v/>
          </cell>
          <cell r="H521">
            <v>0</v>
          </cell>
          <cell r="I521" t="str">
            <v>CNY</v>
          </cell>
          <cell r="J521" t="str">
            <v/>
          </cell>
          <cell r="K521" t="str">
            <v/>
          </cell>
          <cell r="L521" t="str">
            <v/>
          </cell>
        </row>
        <row r="522">
          <cell r="A522" t="str">
            <v>188991098</v>
          </cell>
          <cell r="B522" t="str">
            <v>C199</v>
          </cell>
          <cell r="C522" t="str">
            <v>10</v>
          </cell>
          <cell r="D522" t="str">
            <v>10</v>
          </cell>
          <cell r="E522" t="str">
            <v>100</v>
          </cell>
          <cell r="F522" t="str">
            <v>FCA</v>
          </cell>
          <cell r="G522" t="str">
            <v>KUN SHAN</v>
          </cell>
          <cell r="H522">
            <v>0</v>
          </cell>
          <cell r="I522" t="str">
            <v>CNY</v>
          </cell>
          <cell r="J522" t="str">
            <v/>
          </cell>
          <cell r="K522" t="str">
            <v/>
          </cell>
          <cell r="L522" t="str">
            <v/>
          </cell>
        </row>
        <row r="523">
          <cell r="A523" t="str">
            <v>188991108</v>
          </cell>
          <cell r="B523" t="str">
            <v>C199</v>
          </cell>
          <cell r="C523" t="str">
            <v>10</v>
          </cell>
          <cell r="D523" t="str">
            <v>10</v>
          </cell>
          <cell r="E523" t="str">
            <v>100</v>
          </cell>
          <cell r="F523" t="str">
            <v/>
          </cell>
          <cell r="G523" t="str">
            <v/>
          </cell>
          <cell r="H523">
            <v>0</v>
          </cell>
          <cell r="I523" t="str">
            <v>CNY</v>
          </cell>
          <cell r="J523" t="str">
            <v/>
          </cell>
          <cell r="K523" t="str">
            <v/>
          </cell>
          <cell r="L523" t="str">
            <v/>
          </cell>
        </row>
        <row r="524">
          <cell r="A524" t="str">
            <v>188991113</v>
          </cell>
          <cell r="B524" t="str">
            <v>C199</v>
          </cell>
          <cell r="C524" t="str">
            <v>10</v>
          </cell>
          <cell r="D524" t="str">
            <v>10</v>
          </cell>
          <cell r="E524" t="str">
            <v>100</v>
          </cell>
          <cell r="F524" t="str">
            <v/>
          </cell>
          <cell r="G524" t="str">
            <v/>
          </cell>
          <cell r="H524">
            <v>0</v>
          </cell>
          <cell r="I524" t="str">
            <v>CNY</v>
          </cell>
          <cell r="J524" t="str">
            <v/>
          </cell>
          <cell r="K524" t="str">
            <v/>
          </cell>
          <cell r="L524" t="str">
            <v/>
          </cell>
        </row>
        <row r="525">
          <cell r="A525" t="str">
            <v>188991114</v>
          </cell>
          <cell r="B525" t="str">
            <v>C199</v>
          </cell>
          <cell r="C525" t="str">
            <v>10</v>
          </cell>
          <cell r="D525" t="str">
            <v>10</v>
          </cell>
          <cell r="E525" t="str">
            <v>100</v>
          </cell>
          <cell r="F525" t="str">
            <v/>
          </cell>
          <cell r="G525" t="str">
            <v/>
          </cell>
          <cell r="H525">
            <v>0</v>
          </cell>
          <cell r="I525" t="str">
            <v>CNY</v>
          </cell>
          <cell r="J525" t="str">
            <v/>
          </cell>
          <cell r="K525" t="str">
            <v/>
          </cell>
          <cell r="L525" t="str">
            <v/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M36"/>
  <sheetViews>
    <sheetView tabSelected="1" workbookViewId="0">
      <selection activeCell="N19" sqref="N19"/>
    </sheetView>
  </sheetViews>
  <sheetFormatPr baseColWidth="10" defaultColWidth="9.140625" defaultRowHeight="15"/>
  <cols>
    <col min="1" max="2" width="7.42578125" customWidth="1"/>
    <col min="3" max="3" width="36.28515625" style="2" customWidth="1"/>
    <col min="4" max="4" width="9" customWidth="1"/>
    <col min="5" max="5" width="41" style="2" customWidth="1"/>
    <col min="6" max="7" width="9" hidden="1" customWidth="1"/>
    <col min="8" max="8" width="11" hidden="1" customWidth="1"/>
    <col min="9" max="9" width="12.140625" hidden="1" customWidth="1"/>
    <col min="10" max="10" width="31" customWidth="1"/>
    <col min="11" max="11" width="19.28515625" style="2" customWidth="1"/>
    <col min="12" max="12" width="9.42578125" customWidth="1"/>
    <col min="13" max="13" width="45.42578125" style="2" customWidth="1"/>
  </cols>
  <sheetData>
    <row r="1" spans="1:13" ht="46.5" customHeight="1">
      <c r="A1" s="22" t="s">
        <v>85</v>
      </c>
      <c r="B1" s="23" t="s">
        <v>84</v>
      </c>
      <c r="C1" s="24" t="s">
        <v>294</v>
      </c>
      <c r="D1" s="22" t="s">
        <v>383</v>
      </c>
      <c r="E1" s="24" t="s">
        <v>382</v>
      </c>
      <c r="F1" s="25"/>
      <c r="G1" s="25"/>
      <c r="H1" s="26" t="s">
        <v>371</v>
      </c>
      <c r="I1" s="26" t="s">
        <v>372</v>
      </c>
      <c r="J1" s="23" t="s">
        <v>381</v>
      </c>
      <c r="K1" s="27" t="s">
        <v>384</v>
      </c>
      <c r="L1" s="19" t="s">
        <v>373</v>
      </c>
      <c r="M1" s="29" t="s">
        <v>374</v>
      </c>
    </row>
    <row r="2" spans="1:13">
      <c r="A2" s="13" t="s">
        <v>2</v>
      </c>
      <c r="B2" s="13" t="s">
        <v>10</v>
      </c>
      <c r="C2" s="14" t="s">
        <v>341</v>
      </c>
      <c r="D2" s="13" t="s">
        <v>20</v>
      </c>
      <c r="E2" s="15" t="s">
        <v>91</v>
      </c>
      <c r="F2" t="str">
        <f>VLOOKUP(B2,[1]KNVV!$A:$L,12,0)</f>
        <v>0460</v>
      </c>
      <c r="G2" t="b">
        <f t="shared" ref="G2:G36" si="0">D2=F2</f>
        <v>1</v>
      </c>
      <c r="H2" s="17">
        <v>221565</v>
      </c>
      <c r="I2" s="17">
        <v>32629778.600000117</v>
      </c>
      <c r="J2" s="16" t="s">
        <v>375</v>
      </c>
      <c r="K2" s="28" t="s">
        <v>385</v>
      </c>
      <c r="L2" s="20" t="s">
        <v>242</v>
      </c>
      <c r="M2" s="28" t="s">
        <v>243</v>
      </c>
    </row>
    <row r="3" spans="1:13">
      <c r="A3" s="13" t="s">
        <v>2</v>
      </c>
      <c r="B3" s="13" t="s">
        <v>27</v>
      </c>
      <c r="C3" s="14" t="s">
        <v>342</v>
      </c>
      <c r="D3" s="13" t="s">
        <v>20</v>
      </c>
      <c r="E3" s="15" t="s">
        <v>91</v>
      </c>
      <c r="F3" t="str">
        <f>VLOOKUP(B3,[1]KNVV!$A:$L,12,0)</f>
        <v>0460</v>
      </c>
      <c r="G3" t="b">
        <f t="shared" si="0"/>
        <v>1</v>
      </c>
      <c r="H3" s="17">
        <v>2300</v>
      </c>
      <c r="I3" s="17">
        <v>285022</v>
      </c>
      <c r="J3" s="16" t="s">
        <v>376</v>
      </c>
      <c r="K3" s="15" t="s">
        <v>386</v>
      </c>
      <c r="L3" s="18"/>
    </row>
    <row r="4" spans="1:13">
      <c r="A4" s="13" t="s">
        <v>2</v>
      </c>
      <c r="B4" s="13" t="s">
        <v>25</v>
      </c>
      <c r="C4" s="14" t="s">
        <v>343</v>
      </c>
      <c r="D4" s="13" t="s">
        <v>0</v>
      </c>
      <c r="E4" s="15" t="s">
        <v>209</v>
      </c>
      <c r="F4" t="str">
        <f>VLOOKUP(B4,[1]KNVV!$A:$L,12,0)</f>
        <v>7604</v>
      </c>
      <c r="G4" t="b">
        <f t="shared" si="0"/>
        <v>1</v>
      </c>
      <c r="H4" s="17">
        <v>301258</v>
      </c>
      <c r="I4" s="17">
        <v>49698476.459999911</v>
      </c>
      <c r="J4" s="16" t="s">
        <v>91</v>
      </c>
      <c r="K4" s="28" t="s">
        <v>385</v>
      </c>
      <c r="L4" s="20" t="s">
        <v>20</v>
      </c>
      <c r="M4" s="28" t="s">
        <v>91</v>
      </c>
    </row>
    <row r="5" spans="1:13">
      <c r="A5" s="13" t="s">
        <v>2</v>
      </c>
      <c r="B5" s="13" t="s">
        <v>18</v>
      </c>
      <c r="C5" s="14" t="s">
        <v>344</v>
      </c>
      <c r="D5" s="13" t="s">
        <v>20</v>
      </c>
      <c r="E5" s="15" t="s">
        <v>91</v>
      </c>
      <c r="F5" t="str">
        <f>VLOOKUP(B5,[1]KNVV!$A:$L,12,0)</f>
        <v>0460</v>
      </c>
      <c r="G5" t="b">
        <f t="shared" si="0"/>
        <v>1</v>
      </c>
      <c r="H5" s="17">
        <v>118990</v>
      </c>
      <c r="I5" s="17">
        <v>13902982.800000021</v>
      </c>
      <c r="J5" s="16" t="s">
        <v>91</v>
      </c>
      <c r="K5" s="15" t="s">
        <v>386</v>
      </c>
      <c r="L5" s="18"/>
    </row>
    <row r="6" spans="1:13">
      <c r="A6" s="13" t="s">
        <v>2</v>
      </c>
      <c r="B6" s="13" t="s">
        <v>24</v>
      </c>
      <c r="C6" s="14" t="s">
        <v>345</v>
      </c>
      <c r="D6" s="13" t="s">
        <v>20</v>
      </c>
      <c r="E6" s="15" t="s">
        <v>91</v>
      </c>
      <c r="F6" t="str">
        <f>VLOOKUP(B6,[1]KNVV!$A:$L,12,0)</f>
        <v>0460</v>
      </c>
      <c r="G6" t="b">
        <f t="shared" si="0"/>
        <v>1</v>
      </c>
      <c r="H6" s="17">
        <v>1232754</v>
      </c>
      <c r="I6" s="17">
        <v>283370071.52000087</v>
      </c>
      <c r="J6" s="16" t="s">
        <v>91</v>
      </c>
      <c r="K6" s="15" t="s">
        <v>386</v>
      </c>
      <c r="L6" s="18"/>
    </row>
    <row r="7" spans="1:13">
      <c r="A7" s="13" t="s">
        <v>2</v>
      </c>
      <c r="B7" s="13" t="s">
        <v>51</v>
      </c>
      <c r="C7" s="14" t="s">
        <v>338</v>
      </c>
      <c r="D7" s="13" t="s">
        <v>38</v>
      </c>
      <c r="E7" s="15" t="s">
        <v>88</v>
      </c>
      <c r="F7" t="str">
        <f>VLOOKUP(B7,[1]KNVV!$A:$L,12,0)</f>
        <v>0201</v>
      </c>
      <c r="G7" t="b">
        <f t="shared" si="0"/>
        <v>1</v>
      </c>
      <c r="H7" s="17"/>
      <c r="I7" s="17"/>
      <c r="J7" s="16" t="s">
        <v>377</v>
      </c>
      <c r="K7" s="15" t="s">
        <v>386</v>
      </c>
      <c r="L7" s="18"/>
    </row>
    <row r="8" spans="1:13">
      <c r="A8" s="13" t="s">
        <v>2</v>
      </c>
      <c r="B8" s="13" t="s">
        <v>50</v>
      </c>
      <c r="C8" s="14" t="s">
        <v>339</v>
      </c>
      <c r="D8" s="13" t="s">
        <v>38</v>
      </c>
      <c r="E8" s="15" t="s">
        <v>88</v>
      </c>
      <c r="F8" t="str">
        <f>VLOOKUP(B8,[1]KNVV!$A:$L,12,0)</f>
        <v>0201</v>
      </c>
      <c r="G8" t="b">
        <f t="shared" si="0"/>
        <v>1</v>
      </c>
      <c r="H8" s="17"/>
      <c r="I8" s="17"/>
      <c r="J8" s="16" t="s">
        <v>377</v>
      </c>
      <c r="K8" s="15" t="s">
        <v>386</v>
      </c>
      <c r="L8" s="18"/>
    </row>
    <row r="9" spans="1:13">
      <c r="A9" s="13" t="s">
        <v>2</v>
      </c>
      <c r="B9" s="13" t="s">
        <v>16</v>
      </c>
      <c r="C9" s="14" t="s">
        <v>346</v>
      </c>
      <c r="D9" s="13" t="s">
        <v>15</v>
      </c>
      <c r="E9" s="15" t="s">
        <v>275</v>
      </c>
      <c r="F9" t="str">
        <f>VLOOKUP(B9,[1]KNVV!$A:$L,12,0)</f>
        <v>Z170</v>
      </c>
      <c r="G9" t="b">
        <f t="shared" si="0"/>
        <v>1</v>
      </c>
      <c r="H9" s="17">
        <v>233896</v>
      </c>
      <c r="I9" s="17">
        <v>35621248.440000027</v>
      </c>
      <c r="J9" s="16" t="s">
        <v>375</v>
      </c>
      <c r="K9" s="28" t="s">
        <v>385</v>
      </c>
      <c r="L9" s="20" t="s">
        <v>242</v>
      </c>
      <c r="M9" s="28" t="s">
        <v>243</v>
      </c>
    </row>
    <row r="10" spans="1:13">
      <c r="A10" s="13" t="s">
        <v>2</v>
      </c>
      <c r="B10" s="13" t="s">
        <v>49</v>
      </c>
      <c r="C10" s="14" t="s">
        <v>340</v>
      </c>
      <c r="D10" s="13" t="s">
        <v>33</v>
      </c>
      <c r="E10" s="15" t="s">
        <v>224</v>
      </c>
      <c r="F10" t="str">
        <f>VLOOKUP(B10,[1]KNVV!$A:$L,12,0)</f>
        <v>ZI02</v>
      </c>
      <c r="G10" t="b">
        <f t="shared" si="0"/>
        <v>1</v>
      </c>
      <c r="H10" s="17"/>
      <c r="I10" s="17"/>
      <c r="J10" s="16" t="s">
        <v>377</v>
      </c>
      <c r="K10" s="15" t="s">
        <v>386</v>
      </c>
      <c r="L10" s="18"/>
    </row>
    <row r="11" spans="1:13">
      <c r="A11" s="13" t="s">
        <v>2</v>
      </c>
      <c r="B11" s="13" t="s">
        <v>11</v>
      </c>
      <c r="C11" s="14" t="s">
        <v>347</v>
      </c>
      <c r="D11" s="13" t="s">
        <v>15</v>
      </c>
      <c r="E11" s="15" t="s">
        <v>275</v>
      </c>
      <c r="F11" t="str">
        <f>VLOOKUP(B11,[1]KNVV!$A:$L,12,0)</f>
        <v>Z170</v>
      </c>
      <c r="G11" t="b">
        <f t="shared" si="0"/>
        <v>1</v>
      </c>
      <c r="H11" s="17">
        <v>288023</v>
      </c>
      <c r="I11" s="17">
        <v>31727215.119999994</v>
      </c>
      <c r="J11" s="16" t="s">
        <v>375</v>
      </c>
      <c r="K11" s="28" t="s">
        <v>385</v>
      </c>
      <c r="L11" s="20" t="s">
        <v>242</v>
      </c>
      <c r="M11" s="28" t="s">
        <v>243</v>
      </c>
    </row>
    <row r="12" spans="1:13">
      <c r="A12" s="13" t="s">
        <v>2</v>
      </c>
      <c r="B12" s="13" t="s">
        <v>48</v>
      </c>
      <c r="C12" s="14" t="s">
        <v>348</v>
      </c>
      <c r="D12" s="13" t="s">
        <v>20</v>
      </c>
      <c r="E12" s="15" t="s">
        <v>91</v>
      </c>
      <c r="F12" t="str">
        <f>VLOOKUP(B12,[1]KNVV!$A:$L,12,0)</f>
        <v>0460</v>
      </c>
      <c r="G12" t="b">
        <f t="shared" si="0"/>
        <v>1</v>
      </c>
      <c r="H12" s="17">
        <v>217246</v>
      </c>
      <c r="I12" s="17">
        <v>40370679.980000071</v>
      </c>
      <c r="J12" s="16" t="s">
        <v>91</v>
      </c>
      <c r="K12" s="15" t="s">
        <v>386</v>
      </c>
      <c r="L12" s="18"/>
    </row>
    <row r="13" spans="1:13">
      <c r="A13" s="13" t="s">
        <v>2</v>
      </c>
      <c r="B13" s="13" t="s">
        <v>17</v>
      </c>
      <c r="C13" s="14" t="s">
        <v>349</v>
      </c>
      <c r="D13" s="13" t="s">
        <v>3</v>
      </c>
      <c r="E13" s="15" t="s">
        <v>146</v>
      </c>
      <c r="F13" t="str">
        <f>VLOOKUP(B13,[1]KNVV!$A:$L,12,0)</f>
        <v>0540</v>
      </c>
      <c r="G13" t="b">
        <f t="shared" si="0"/>
        <v>1</v>
      </c>
      <c r="H13" s="17">
        <v>96457</v>
      </c>
      <c r="I13" s="17">
        <v>29265547.879999984</v>
      </c>
      <c r="J13" s="16" t="s">
        <v>146</v>
      </c>
      <c r="K13" s="15" t="s">
        <v>386</v>
      </c>
      <c r="L13" s="18"/>
    </row>
    <row r="14" spans="1:13">
      <c r="A14" s="13" t="s">
        <v>2</v>
      </c>
      <c r="B14" s="13" t="s">
        <v>47</v>
      </c>
      <c r="C14" s="14" t="s">
        <v>350</v>
      </c>
      <c r="D14" s="13" t="s">
        <v>30</v>
      </c>
      <c r="E14" s="15" t="s">
        <v>132</v>
      </c>
      <c r="F14" t="str">
        <f>VLOOKUP(B14,[1]KNVV!$A:$L,12,0)</f>
        <v>0535</v>
      </c>
      <c r="G14" t="b">
        <f t="shared" si="0"/>
        <v>1</v>
      </c>
      <c r="H14" s="17">
        <v>16800</v>
      </c>
      <c r="I14" s="17">
        <v>909384.00000000047</v>
      </c>
      <c r="J14" s="16" t="s">
        <v>132</v>
      </c>
      <c r="K14" s="15" t="s">
        <v>386</v>
      </c>
      <c r="L14" s="18"/>
    </row>
    <row r="15" spans="1:13">
      <c r="A15" s="13" t="s">
        <v>2</v>
      </c>
      <c r="B15" s="13" t="s">
        <v>23</v>
      </c>
      <c r="C15" s="14" t="s">
        <v>351</v>
      </c>
      <c r="D15" s="13" t="s">
        <v>0</v>
      </c>
      <c r="E15" s="15" t="s">
        <v>209</v>
      </c>
      <c r="F15" t="str">
        <f>VLOOKUP(B15,[1]KNVV!$A:$L,12,0)</f>
        <v>7604</v>
      </c>
      <c r="G15" t="b">
        <f t="shared" si="0"/>
        <v>1</v>
      </c>
      <c r="H15" s="17">
        <v>48635</v>
      </c>
      <c r="I15" s="17">
        <v>11079505.950000001</v>
      </c>
      <c r="J15" s="16" t="s">
        <v>209</v>
      </c>
      <c r="K15" s="15" t="s">
        <v>386</v>
      </c>
      <c r="L15" s="18"/>
    </row>
    <row r="16" spans="1:13">
      <c r="A16" s="13" t="s">
        <v>2</v>
      </c>
      <c r="B16" s="13" t="s">
        <v>46</v>
      </c>
      <c r="C16" s="14" t="s">
        <v>352</v>
      </c>
      <c r="D16" s="13" t="s">
        <v>0</v>
      </c>
      <c r="E16" s="15" t="s">
        <v>209</v>
      </c>
      <c r="F16" t="str">
        <f>VLOOKUP(B16,[1]KNVV!$A:$L,12,0)</f>
        <v>7604</v>
      </c>
      <c r="G16" t="b">
        <f t="shared" si="0"/>
        <v>1</v>
      </c>
      <c r="H16" s="17">
        <v>21839</v>
      </c>
      <c r="I16" s="17">
        <v>4652199.3999999994</v>
      </c>
      <c r="J16" s="16" t="s">
        <v>130</v>
      </c>
      <c r="K16" s="28" t="s">
        <v>385</v>
      </c>
      <c r="L16" s="21" t="s">
        <v>31</v>
      </c>
      <c r="M16" s="28" t="s">
        <v>130</v>
      </c>
    </row>
    <row r="17" spans="1:13">
      <c r="A17" s="13" t="s">
        <v>2</v>
      </c>
      <c r="B17" s="13" t="s">
        <v>14</v>
      </c>
      <c r="C17" s="14" t="s">
        <v>353</v>
      </c>
      <c r="D17" s="13" t="s">
        <v>15</v>
      </c>
      <c r="E17" s="15" t="s">
        <v>275</v>
      </c>
      <c r="F17" t="str">
        <f>VLOOKUP(B17,[1]KNVV!$A:$L,12,0)</f>
        <v>Z170</v>
      </c>
      <c r="G17" t="b">
        <f t="shared" si="0"/>
        <v>1</v>
      </c>
      <c r="H17" s="17">
        <v>17540</v>
      </c>
      <c r="I17" s="17">
        <v>2105894.6</v>
      </c>
      <c r="J17" s="16" t="s">
        <v>375</v>
      </c>
      <c r="K17" s="28" t="s">
        <v>385</v>
      </c>
      <c r="L17" s="20" t="s">
        <v>242</v>
      </c>
      <c r="M17" s="28" t="s">
        <v>243</v>
      </c>
    </row>
    <row r="18" spans="1:13">
      <c r="A18" s="13" t="s">
        <v>2</v>
      </c>
      <c r="B18" s="13" t="s">
        <v>4</v>
      </c>
      <c r="C18" s="14" t="s">
        <v>354</v>
      </c>
      <c r="D18" s="13" t="s">
        <v>45</v>
      </c>
      <c r="E18" s="15" t="s">
        <v>368</v>
      </c>
      <c r="F18" s="3" t="str">
        <f>VLOOKUP(B18,[1]KNVV!$A:$L,12,0)</f>
        <v/>
      </c>
      <c r="G18" s="3" t="b">
        <f t="shared" si="0"/>
        <v>0</v>
      </c>
      <c r="H18" s="17">
        <v>2880</v>
      </c>
      <c r="I18" s="17">
        <v>224549.59000000003</v>
      </c>
      <c r="J18" s="16" t="s">
        <v>102</v>
      </c>
      <c r="K18" s="28" t="s">
        <v>385</v>
      </c>
      <c r="L18" s="20" t="s">
        <v>288</v>
      </c>
      <c r="M18" s="28" t="s">
        <v>102</v>
      </c>
    </row>
    <row r="19" spans="1:13">
      <c r="A19" s="13" t="s">
        <v>2</v>
      </c>
      <c r="B19" s="13" t="s">
        <v>1</v>
      </c>
      <c r="C19" s="14" t="s">
        <v>355</v>
      </c>
      <c r="D19" s="13" t="s">
        <v>44</v>
      </c>
      <c r="E19" s="15" t="s">
        <v>369</v>
      </c>
      <c r="F19" t="str">
        <f>VLOOKUP(B19,[1]KNVV!$A:$L,12,0)</f>
        <v>Z910</v>
      </c>
      <c r="G19" t="b">
        <f t="shared" si="0"/>
        <v>1</v>
      </c>
      <c r="H19" s="17">
        <v>78742</v>
      </c>
      <c r="I19" s="17">
        <v>16081651.260000002</v>
      </c>
      <c r="J19" s="16" t="s">
        <v>378</v>
      </c>
      <c r="K19" s="28" t="s">
        <v>385</v>
      </c>
      <c r="L19" s="20" t="s">
        <v>8</v>
      </c>
      <c r="M19" s="28" t="s">
        <v>88</v>
      </c>
    </row>
    <row r="20" spans="1:13">
      <c r="A20" s="13" t="s">
        <v>2</v>
      </c>
      <c r="B20" s="13" t="s">
        <v>43</v>
      </c>
      <c r="C20" s="14" t="s">
        <v>337</v>
      </c>
      <c r="D20" s="13" t="s">
        <v>36</v>
      </c>
      <c r="E20" s="15" t="s">
        <v>102</v>
      </c>
      <c r="F20" t="str">
        <f>VLOOKUP(B20,[1]KNVV!$A:$L,12,0)</f>
        <v>ZI03</v>
      </c>
      <c r="G20" t="b">
        <f t="shared" si="0"/>
        <v>1</v>
      </c>
      <c r="H20" s="17">
        <v>33024</v>
      </c>
      <c r="I20" s="17">
        <v>21905211.410000004</v>
      </c>
      <c r="J20" s="16" t="s">
        <v>379</v>
      </c>
      <c r="K20" s="15" t="s">
        <v>386</v>
      </c>
      <c r="L20" s="18"/>
    </row>
    <row r="21" spans="1:13">
      <c r="A21" s="13" t="s">
        <v>2</v>
      </c>
      <c r="B21" s="13" t="s">
        <v>42</v>
      </c>
      <c r="C21" s="14" t="s">
        <v>356</v>
      </c>
      <c r="D21" s="13" t="s">
        <v>3</v>
      </c>
      <c r="E21" s="15" t="s">
        <v>146</v>
      </c>
      <c r="F21" t="str">
        <f>VLOOKUP(B21,[1]KNVV!$A:$L,12,0)</f>
        <v>0540</v>
      </c>
      <c r="G21" t="b">
        <f t="shared" si="0"/>
        <v>1</v>
      </c>
      <c r="H21" s="17">
        <v>1530</v>
      </c>
      <c r="I21" s="17">
        <v>224185.71999999997</v>
      </c>
      <c r="J21" s="16" t="s">
        <v>146</v>
      </c>
      <c r="K21" s="15" t="s">
        <v>386</v>
      </c>
      <c r="L21" s="18"/>
    </row>
    <row r="22" spans="1:13">
      <c r="A22" s="13" t="s">
        <v>2</v>
      </c>
      <c r="B22" s="13" t="s">
        <v>7</v>
      </c>
      <c r="C22" s="14" t="s">
        <v>357</v>
      </c>
      <c r="D22" s="13" t="s">
        <v>41</v>
      </c>
      <c r="E22" s="15" t="s">
        <v>88</v>
      </c>
      <c r="F22" t="str">
        <f>VLOOKUP(B22,[1]KNVV!$A:$L,12,0)</f>
        <v>6100</v>
      </c>
      <c r="G22" t="b">
        <f t="shared" si="0"/>
        <v>1</v>
      </c>
      <c r="H22" s="17">
        <v>11088</v>
      </c>
      <c r="I22" s="17">
        <v>9397342.5</v>
      </c>
      <c r="J22" s="16" t="s">
        <v>380</v>
      </c>
      <c r="K22" s="15" t="s">
        <v>386</v>
      </c>
      <c r="L22" s="18"/>
    </row>
    <row r="23" spans="1:13">
      <c r="A23" s="13" t="s">
        <v>2</v>
      </c>
      <c r="B23" s="13" t="s">
        <v>22</v>
      </c>
      <c r="C23" s="14" t="s">
        <v>358</v>
      </c>
      <c r="D23" s="13" t="s">
        <v>0</v>
      </c>
      <c r="E23" s="15" t="s">
        <v>209</v>
      </c>
      <c r="F23" t="str">
        <f>VLOOKUP(B23,[1]KNVV!$A:$L,12,0)</f>
        <v>7604</v>
      </c>
      <c r="G23" t="b">
        <f t="shared" si="0"/>
        <v>1</v>
      </c>
      <c r="H23" s="17">
        <v>7685</v>
      </c>
      <c r="I23" s="17">
        <v>1833588.1</v>
      </c>
      <c r="J23" s="16" t="s">
        <v>209</v>
      </c>
      <c r="K23" s="15" t="s">
        <v>386</v>
      </c>
      <c r="L23" s="18"/>
    </row>
    <row r="24" spans="1:13">
      <c r="A24" s="13" t="s">
        <v>2</v>
      </c>
      <c r="B24" s="13" t="s">
        <v>21</v>
      </c>
      <c r="C24" s="14" t="s">
        <v>359</v>
      </c>
      <c r="D24" s="13" t="s">
        <v>0</v>
      </c>
      <c r="E24" s="15" t="s">
        <v>209</v>
      </c>
      <c r="F24" t="str">
        <f>VLOOKUP(B24,[1]KNVV!$A:$L,12,0)</f>
        <v>7604</v>
      </c>
      <c r="G24" t="b">
        <f t="shared" si="0"/>
        <v>1</v>
      </c>
      <c r="H24" s="17">
        <v>13265</v>
      </c>
      <c r="I24" s="17">
        <v>3394529.6999999997</v>
      </c>
      <c r="J24" s="16" t="s">
        <v>209</v>
      </c>
      <c r="K24" s="15" t="s">
        <v>386</v>
      </c>
      <c r="L24" s="18"/>
    </row>
    <row r="25" spans="1:13">
      <c r="A25" s="13" t="s">
        <v>2</v>
      </c>
      <c r="B25" s="13" t="s">
        <v>40</v>
      </c>
      <c r="C25" s="14" t="s">
        <v>360</v>
      </c>
      <c r="D25" s="13" t="s">
        <v>0</v>
      </c>
      <c r="E25" s="15" t="s">
        <v>209</v>
      </c>
      <c r="F25" t="str">
        <f>VLOOKUP(B25,[1]KNVV!$A:$L,12,0)</f>
        <v>7604</v>
      </c>
      <c r="G25" t="b">
        <f t="shared" si="0"/>
        <v>1</v>
      </c>
      <c r="H25" s="17">
        <v>3050</v>
      </c>
      <c r="I25" s="17">
        <v>616320</v>
      </c>
      <c r="J25" s="16" t="s">
        <v>209</v>
      </c>
      <c r="K25" s="15" t="s">
        <v>386</v>
      </c>
      <c r="L25" s="18"/>
    </row>
    <row r="26" spans="1:13">
      <c r="A26" s="13" t="s">
        <v>2</v>
      </c>
      <c r="B26" s="13" t="s">
        <v>19</v>
      </c>
      <c r="C26" s="14" t="s">
        <v>361</v>
      </c>
      <c r="D26" s="13" t="s">
        <v>0</v>
      </c>
      <c r="E26" s="15" t="s">
        <v>209</v>
      </c>
      <c r="F26" t="str">
        <f>VLOOKUP(B26,[1]KNVV!$A:$L,12,0)</f>
        <v>7604</v>
      </c>
      <c r="G26" t="b">
        <f t="shared" si="0"/>
        <v>1</v>
      </c>
      <c r="H26" s="17">
        <v>1255</v>
      </c>
      <c r="I26" s="17">
        <v>274605.55</v>
      </c>
      <c r="J26" s="16" t="s">
        <v>209</v>
      </c>
      <c r="K26" s="15" t="s">
        <v>386</v>
      </c>
      <c r="L26" s="18"/>
    </row>
    <row r="27" spans="1:13">
      <c r="A27" s="13" t="s">
        <v>2</v>
      </c>
      <c r="B27" s="13" t="s">
        <v>39</v>
      </c>
      <c r="C27" s="14" t="s">
        <v>295</v>
      </c>
      <c r="D27" s="13" t="s">
        <v>38</v>
      </c>
      <c r="E27" s="15" t="s">
        <v>88</v>
      </c>
      <c r="F27" t="str">
        <f>VLOOKUP(B27,[1]KNVV!$A:$L,12,0)</f>
        <v>0201</v>
      </c>
      <c r="G27" t="b">
        <f t="shared" si="0"/>
        <v>1</v>
      </c>
      <c r="H27" s="17"/>
      <c r="I27" s="17"/>
      <c r="J27" s="16" t="s">
        <v>376</v>
      </c>
      <c r="K27" s="15" t="s">
        <v>386</v>
      </c>
      <c r="L27" s="18"/>
    </row>
    <row r="28" spans="1:13">
      <c r="A28" s="13" t="s">
        <v>2</v>
      </c>
      <c r="B28" s="13" t="s">
        <v>12</v>
      </c>
      <c r="C28" s="14" t="s">
        <v>362</v>
      </c>
      <c r="D28" s="13" t="s">
        <v>20</v>
      </c>
      <c r="E28" s="15" t="s">
        <v>91</v>
      </c>
      <c r="F28" t="str">
        <f>VLOOKUP(B28,[1]KNVV!$A:$L,12,0)</f>
        <v>0460</v>
      </c>
      <c r="G28" t="b">
        <f t="shared" si="0"/>
        <v>1</v>
      </c>
      <c r="H28" s="17">
        <v>-2055</v>
      </c>
      <c r="I28" s="17">
        <v>-197093.59000000014</v>
      </c>
      <c r="J28" s="16" t="s">
        <v>375</v>
      </c>
      <c r="K28" s="28" t="s">
        <v>385</v>
      </c>
      <c r="L28" s="20" t="s">
        <v>242</v>
      </c>
      <c r="M28" s="28" t="s">
        <v>243</v>
      </c>
    </row>
    <row r="29" spans="1:13">
      <c r="A29" s="13" t="s">
        <v>2</v>
      </c>
      <c r="B29" s="13" t="s">
        <v>37</v>
      </c>
      <c r="C29" s="14" t="s">
        <v>296</v>
      </c>
      <c r="D29" s="13" t="s">
        <v>36</v>
      </c>
      <c r="E29" s="15" t="s">
        <v>102</v>
      </c>
      <c r="F29" t="str">
        <f>VLOOKUP(B29,[1]KNVV!$A:$L,12,0)</f>
        <v>ZI03</v>
      </c>
      <c r="G29" t="b">
        <f t="shared" si="0"/>
        <v>1</v>
      </c>
      <c r="H29" s="17">
        <v>53860</v>
      </c>
      <c r="I29" s="17">
        <v>9772520.9500000011</v>
      </c>
      <c r="J29" s="16" t="s">
        <v>379</v>
      </c>
      <c r="K29" s="15" t="s">
        <v>386</v>
      </c>
      <c r="L29" s="18"/>
    </row>
    <row r="30" spans="1:13">
      <c r="A30" s="13" t="s">
        <v>2</v>
      </c>
      <c r="B30" s="13" t="s">
        <v>35</v>
      </c>
      <c r="C30" s="14" t="s">
        <v>363</v>
      </c>
      <c r="D30" s="13" t="s">
        <v>20</v>
      </c>
      <c r="E30" s="15" t="s">
        <v>91</v>
      </c>
      <c r="F30" t="str">
        <f>VLOOKUP(B30,[1]KNVV!$A:$L,12,0)</f>
        <v>0460</v>
      </c>
      <c r="G30" t="b">
        <f t="shared" si="0"/>
        <v>1</v>
      </c>
      <c r="H30" s="17">
        <v>41745</v>
      </c>
      <c r="I30" s="17">
        <v>9608956.660000002</v>
      </c>
      <c r="J30" s="16" t="s">
        <v>91</v>
      </c>
      <c r="K30" s="15" t="s">
        <v>386</v>
      </c>
      <c r="L30" s="18"/>
    </row>
    <row r="31" spans="1:13">
      <c r="A31" s="13" t="s">
        <v>2</v>
      </c>
      <c r="B31" s="13" t="s">
        <v>34</v>
      </c>
      <c r="C31" s="14" t="s">
        <v>297</v>
      </c>
      <c r="D31" s="13" t="s">
        <v>33</v>
      </c>
      <c r="E31" s="15" t="s">
        <v>224</v>
      </c>
      <c r="F31" t="str">
        <f>VLOOKUP(B31,[1]KNVV!$A:$L,12,0)</f>
        <v>ZI02</v>
      </c>
      <c r="G31" t="b">
        <f t="shared" si="0"/>
        <v>1</v>
      </c>
      <c r="H31" s="17">
        <v>39076</v>
      </c>
      <c r="I31" s="17">
        <v>6069049.4300000016</v>
      </c>
      <c r="J31" s="16" t="s">
        <v>379</v>
      </c>
      <c r="K31" s="15" t="s">
        <v>386</v>
      </c>
      <c r="L31" s="18"/>
    </row>
    <row r="32" spans="1:13">
      <c r="A32" s="13" t="s">
        <v>2</v>
      </c>
      <c r="B32" s="13" t="s">
        <v>32</v>
      </c>
      <c r="C32" s="14" t="s">
        <v>364</v>
      </c>
      <c r="D32" s="13" t="s">
        <v>31</v>
      </c>
      <c r="E32" s="15" t="s">
        <v>130</v>
      </c>
      <c r="F32" t="str">
        <f>VLOOKUP(B32,[1]KNVV!$A:$L,12,0)</f>
        <v>0520</v>
      </c>
      <c r="G32" t="b">
        <f t="shared" si="0"/>
        <v>1</v>
      </c>
      <c r="H32" s="17">
        <v>4632</v>
      </c>
      <c r="I32" s="17">
        <v>2002077.0899999999</v>
      </c>
      <c r="J32" s="16" t="s">
        <v>130</v>
      </c>
      <c r="K32" s="15" t="s">
        <v>386</v>
      </c>
      <c r="L32" s="18"/>
    </row>
    <row r="33" spans="1:13">
      <c r="A33" s="13" t="s">
        <v>2</v>
      </c>
      <c r="B33" s="13" t="s">
        <v>5</v>
      </c>
      <c r="C33" s="14" t="s">
        <v>365</v>
      </c>
      <c r="D33" s="13" t="s">
        <v>30</v>
      </c>
      <c r="E33" s="15" t="s">
        <v>132</v>
      </c>
      <c r="F33" t="str">
        <f>VLOOKUP(B33,[1]KNVV!$A:$L,12,0)</f>
        <v>0535</v>
      </c>
      <c r="G33" t="b">
        <f t="shared" si="0"/>
        <v>1</v>
      </c>
      <c r="H33" s="17">
        <v>6072</v>
      </c>
      <c r="I33" s="17">
        <v>1082141.0399999998</v>
      </c>
      <c r="J33" s="16" t="s">
        <v>132</v>
      </c>
      <c r="K33" s="15" t="s">
        <v>386</v>
      </c>
      <c r="L33" s="18"/>
    </row>
    <row r="34" spans="1:13">
      <c r="A34" s="13" t="s">
        <v>2</v>
      </c>
      <c r="B34" s="13" t="s">
        <v>29</v>
      </c>
      <c r="C34" s="14" t="s">
        <v>366</v>
      </c>
      <c r="D34" s="13" t="s">
        <v>20</v>
      </c>
      <c r="E34" s="15" t="s">
        <v>91</v>
      </c>
      <c r="F34" t="str">
        <f>VLOOKUP(B34,[1]KNVV!$A:$L,12,0)</f>
        <v>0460</v>
      </c>
      <c r="G34" t="b">
        <f t="shared" si="0"/>
        <v>1</v>
      </c>
      <c r="H34" s="17">
        <v>49</v>
      </c>
      <c r="I34" s="17">
        <v>586466.44999999995</v>
      </c>
      <c r="J34" s="16" t="s">
        <v>209</v>
      </c>
      <c r="K34" s="28" t="s">
        <v>385</v>
      </c>
      <c r="L34" s="21">
        <v>7604</v>
      </c>
      <c r="M34" s="28" t="s">
        <v>209</v>
      </c>
    </row>
    <row r="35" spans="1:13">
      <c r="A35" s="13" t="s">
        <v>2</v>
      </c>
      <c r="B35" s="13" t="s">
        <v>26</v>
      </c>
      <c r="C35" s="14" t="s">
        <v>367</v>
      </c>
      <c r="D35" s="13" t="s">
        <v>28</v>
      </c>
      <c r="E35" s="15" t="s">
        <v>370</v>
      </c>
      <c r="F35" t="str">
        <f>VLOOKUP(B35,[1]KNVV!$A:$L,12,0)</f>
        <v>Z005</v>
      </c>
      <c r="G35" t="b">
        <f t="shared" si="0"/>
        <v>1</v>
      </c>
      <c r="H35" s="17">
        <v>6490</v>
      </c>
      <c r="I35" s="17">
        <v>145880</v>
      </c>
      <c r="J35" s="16" t="s">
        <v>376</v>
      </c>
      <c r="K35" s="15" t="s">
        <v>386</v>
      </c>
      <c r="L35" s="18"/>
    </row>
    <row r="36" spans="1:13">
      <c r="A36" s="13" t="s">
        <v>2</v>
      </c>
      <c r="B36" s="13" t="s">
        <v>13</v>
      </c>
      <c r="C36" s="14" t="s">
        <v>347</v>
      </c>
      <c r="D36" s="13" t="s">
        <v>15</v>
      </c>
      <c r="E36" s="15" t="s">
        <v>275</v>
      </c>
      <c r="F36" t="str">
        <f>VLOOKUP(B36,[1]KNVV!$A:$L,12,0)</f>
        <v>Z170</v>
      </c>
      <c r="G36" t="b">
        <f t="shared" si="0"/>
        <v>1</v>
      </c>
      <c r="H36" s="13"/>
      <c r="I36" s="13"/>
      <c r="J36" s="16" t="s">
        <v>375</v>
      </c>
      <c r="K36" s="28" t="s">
        <v>385</v>
      </c>
      <c r="L36" s="20" t="s">
        <v>242</v>
      </c>
      <c r="M36" s="28" t="s">
        <v>243</v>
      </c>
    </row>
  </sheetData>
  <autoFilter ref="A1:M36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7F91-C1C6-4CD4-9289-33A04834394B}">
  <sheetPr codeName="Tabelle2"/>
  <dimension ref="A1:D310"/>
  <sheetViews>
    <sheetView workbookViewId="0">
      <selection activeCell="D84" sqref="D84"/>
    </sheetView>
  </sheetViews>
  <sheetFormatPr baseColWidth="10" defaultColWidth="9.140625" defaultRowHeight="15"/>
  <cols>
    <col min="1" max="1" width="16.85546875" customWidth="1"/>
    <col min="2" max="2" width="48.42578125" bestFit="1" customWidth="1"/>
    <col min="3" max="3" width="48.42578125" hidden="1" customWidth="1"/>
    <col min="4" max="4" width="71.42578125" customWidth="1"/>
  </cols>
  <sheetData>
    <row r="1" spans="1:4">
      <c r="A1" s="4" t="s">
        <v>86</v>
      </c>
      <c r="B1" s="4" t="s">
        <v>87</v>
      </c>
      <c r="C1" s="9"/>
    </row>
    <row r="2" spans="1:4">
      <c r="A2" s="6" t="s">
        <v>62</v>
      </c>
      <c r="B2" s="7" t="s">
        <v>88</v>
      </c>
      <c r="C2" s="10" t="e">
        <f>VLOOKUP(A2,'KNVV--BSEG'!D:D,1,0)</f>
        <v>#N/A</v>
      </c>
      <c r="D2" t="str">
        <f>B2</f>
        <v>Payable immediately Due net</v>
      </c>
    </row>
    <row r="3" spans="1:4">
      <c r="A3" s="5" t="s">
        <v>89</v>
      </c>
      <c r="B3" s="4" t="s">
        <v>90</v>
      </c>
      <c r="C3" s="10" t="e">
        <f>VLOOKUP(A3,'KNVV--BSEG'!D:D,1,0)</f>
        <v>#N/A</v>
      </c>
    </row>
    <row r="4" spans="1:4">
      <c r="A4" s="4"/>
      <c r="B4" s="4" t="s">
        <v>91</v>
      </c>
      <c r="C4" s="10" t="e">
        <f>VLOOKUP(A4,'KNVV--BSEG'!D:D,1,0)</f>
        <v>#N/A</v>
      </c>
    </row>
    <row r="5" spans="1:4">
      <c r="A5" s="5" t="s">
        <v>92</v>
      </c>
      <c r="B5" s="4" t="s">
        <v>93</v>
      </c>
      <c r="C5" s="10" t="e">
        <f>VLOOKUP(A5,'KNVV--BSEG'!D:D,1,0)</f>
        <v>#N/A</v>
      </c>
    </row>
    <row r="6" spans="1:4">
      <c r="A6" s="4"/>
      <c r="B6" s="4" t="s">
        <v>94</v>
      </c>
      <c r="C6" s="10" t="e">
        <f>VLOOKUP(A6,'KNVV--BSEG'!D:D,1,0)</f>
        <v>#N/A</v>
      </c>
    </row>
    <row r="7" spans="1:4">
      <c r="A7" s="4"/>
      <c r="B7" s="4" t="s">
        <v>91</v>
      </c>
      <c r="C7" s="10" t="e">
        <f>VLOOKUP(A7,'KNVV--BSEG'!D:D,1,0)</f>
        <v>#N/A</v>
      </c>
    </row>
    <row r="8" spans="1:4">
      <c r="A8" s="5" t="s">
        <v>95</v>
      </c>
      <c r="B8" s="4" t="s">
        <v>88</v>
      </c>
      <c r="C8" s="10" t="e">
        <f>VLOOKUP(A8,'KNVV--BSEG'!D:D,1,0)</f>
        <v>#N/A</v>
      </c>
    </row>
    <row r="9" spans="1:4">
      <c r="A9" s="4"/>
      <c r="B9" s="4" t="s">
        <v>96</v>
      </c>
      <c r="C9" s="10" t="e">
        <f>VLOOKUP(A9,'KNVV--BSEG'!D:D,1,0)</f>
        <v>#N/A</v>
      </c>
    </row>
    <row r="10" spans="1:4">
      <c r="A10" s="5" t="s">
        <v>97</v>
      </c>
      <c r="B10" s="4" t="s">
        <v>88</v>
      </c>
      <c r="C10" s="10" t="e">
        <f>VLOOKUP(A10,'KNVV--BSEG'!D:D,1,0)</f>
        <v>#N/A</v>
      </c>
    </row>
    <row r="11" spans="1:4">
      <c r="A11" s="4"/>
      <c r="B11" s="4" t="s">
        <v>98</v>
      </c>
      <c r="C11" s="10" t="e">
        <f>VLOOKUP(A11,'KNVV--BSEG'!D:D,1,0)</f>
        <v>#N/A</v>
      </c>
    </row>
    <row r="12" spans="1:4">
      <c r="A12" s="5" t="s">
        <v>99</v>
      </c>
      <c r="B12" s="4" t="s">
        <v>100</v>
      </c>
      <c r="C12" s="10" t="e">
        <f>VLOOKUP(A12,'KNVV--BSEG'!D:D,1,0)</f>
        <v>#N/A</v>
      </c>
    </row>
    <row r="13" spans="1:4">
      <c r="A13" s="4"/>
      <c r="B13" s="4" t="s">
        <v>101</v>
      </c>
      <c r="C13" s="10" t="e">
        <f>VLOOKUP(A13,'KNVV--BSEG'!D:D,1,0)</f>
        <v>#N/A</v>
      </c>
    </row>
    <row r="14" spans="1:4">
      <c r="A14" s="4"/>
      <c r="B14" s="4" t="s">
        <v>102</v>
      </c>
      <c r="C14" s="10" t="e">
        <f>VLOOKUP(A14,'KNVV--BSEG'!D:D,1,0)</f>
        <v>#N/A</v>
      </c>
    </row>
    <row r="15" spans="1:4">
      <c r="A15" s="5" t="s">
        <v>103</v>
      </c>
      <c r="B15" s="4" t="s">
        <v>104</v>
      </c>
      <c r="C15" s="10" t="e">
        <f>VLOOKUP(A15,'KNVV--BSEG'!D:D,1,0)</f>
        <v>#N/A</v>
      </c>
    </row>
    <row r="16" spans="1:4">
      <c r="A16" s="4"/>
      <c r="B16" s="4" t="s">
        <v>105</v>
      </c>
      <c r="C16" s="10" t="e">
        <f>VLOOKUP(A16,'KNVV--BSEG'!D:D,1,0)</f>
        <v>#N/A</v>
      </c>
    </row>
    <row r="17" spans="1:4">
      <c r="A17" s="4"/>
      <c r="B17" s="4" t="s">
        <v>106</v>
      </c>
      <c r="C17" s="10" t="e">
        <f>VLOOKUP(A17,'KNVV--BSEG'!D:D,1,0)</f>
        <v>#N/A</v>
      </c>
    </row>
    <row r="18" spans="1:4">
      <c r="A18" s="4"/>
      <c r="B18" s="4" t="s">
        <v>107</v>
      </c>
      <c r="C18" s="10" t="e">
        <f>VLOOKUP(A18,'KNVV--BSEG'!D:D,1,0)</f>
        <v>#N/A</v>
      </c>
    </row>
    <row r="19" spans="1:4">
      <c r="A19" s="4"/>
      <c r="B19" s="4" t="s">
        <v>108</v>
      </c>
      <c r="C19" s="10" t="e">
        <f>VLOOKUP(A19,'KNVV--BSEG'!D:D,1,0)</f>
        <v>#N/A</v>
      </c>
    </row>
    <row r="20" spans="1:4">
      <c r="A20" s="4"/>
      <c r="B20" s="4" t="s">
        <v>109</v>
      </c>
      <c r="C20" s="10" t="e">
        <f>VLOOKUP(A20,'KNVV--BSEG'!D:D,1,0)</f>
        <v>#N/A</v>
      </c>
    </row>
    <row r="21" spans="1:4" ht="75">
      <c r="A21" s="6" t="s">
        <v>45</v>
      </c>
      <c r="B21" s="7" t="s">
        <v>104</v>
      </c>
      <c r="C21" s="10" t="str">
        <f>VLOOKUP(A21,'KNVV--BSEG'!D:D,1,0)</f>
        <v>0008</v>
      </c>
      <c r="D21" s="8" t="str">
        <f>B21&amp;", "&amp;B22&amp;", "&amp;B23&amp;", "&amp;B24&amp;", "&amp;B25&amp;", "&amp;B26&amp;", "&amp;B27&amp;", "&amp;B28&amp;", "&amp;B29&amp;", "&amp;B30</f>
        <v>For Invoicing up to 15 of Month,   within 14 days 2 % cash discount,   within 30 days 1.5 % cash discount,   within 45 days Due net,   Baseline date on 30 of the month, For Invoicing up to End  of Month,   within 14 days 2 % cash discount,   within 30 days 1.5 % cash discount,   within 45 days Due net,   Baseline date on 15 of next month</v>
      </c>
    </row>
    <row r="22" spans="1:4">
      <c r="A22" s="7"/>
      <c r="B22" s="7" t="s">
        <v>110</v>
      </c>
      <c r="C22" s="10" t="e">
        <f>VLOOKUP(A22,'KNVV--BSEG'!D:D,1,0)</f>
        <v>#N/A</v>
      </c>
    </row>
    <row r="23" spans="1:4">
      <c r="A23" s="7"/>
      <c r="B23" s="7" t="s">
        <v>111</v>
      </c>
      <c r="C23" s="10" t="e">
        <f>VLOOKUP(A23,'KNVV--BSEG'!D:D,1,0)</f>
        <v>#N/A</v>
      </c>
    </row>
    <row r="24" spans="1:4">
      <c r="A24" s="7"/>
      <c r="B24" s="7" t="s">
        <v>112</v>
      </c>
      <c r="C24" s="10" t="e">
        <f>VLOOKUP(A24,'KNVV--BSEG'!D:D,1,0)</f>
        <v>#N/A</v>
      </c>
    </row>
    <row r="25" spans="1:4">
      <c r="A25" s="7"/>
      <c r="B25" s="7" t="s">
        <v>113</v>
      </c>
      <c r="C25" s="10" t="e">
        <f>VLOOKUP(A25,'KNVV--BSEG'!D:D,1,0)</f>
        <v>#N/A</v>
      </c>
    </row>
    <row r="26" spans="1:4">
      <c r="A26" s="7"/>
      <c r="B26" s="7" t="s">
        <v>107</v>
      </c>
      <c r="C26" s="10" t="e">
        <f>VLOOKUP(A26,'KNVV--BSEG'!D:D,1,0)</f>
        <v>#N/A</v>
      </c>
    </row>
    <row r="27" spans="1:4">
      <c r="A27" s="7"/>
      <c r="B27" s="7" t="s">
        <v>110</v>
      </c>
      <c r="C27" s="10" t="e">
        <f>VLOOKUP(A27,'KNVV--BSEG'!D:D,1,0)</f>
        <v>#N/A</v>
      </c>
    </row>
    <row r="28" spans="1:4">
      <c r="A28" s="7"/>
      <c r="B28" s="7" t="s">
        <v>111</v>
      </c>
      <c r="C28" s="10" t="e">
        <f>VLOOKUP(A28,'KNVV--BSEG'!D:D,1,0)</f>
        <v>#N/A</v>
      </c>
    </row>
    <row r="29" spans="1:4">
      <c r="A29" s="7"/>
      <c r="B29" s="7" t="s">
        <v>112</v>
      </c>
      <c r="C29" s="10" t="e">
        <f>VLOOKUP(A29,'KNVV--BSEG'!D:D,1,0)</f>
        <v>#N/A</v>
      </c>
    </row>
    <row r="30" spans="1:4">
      <c r="A30" s="7"/>
      <c r="B30" s="7" t="s">
        <v>114</v>
      </c>
      <c r="C30" s="10" t="e">
        <f>VLOOKUP(A30,'KNVV--BSEG'!D:D,1,0)</f>
        <v>#N/A</v>
      </c>
    </row>
    <row r="31" spans="1:4">
      <c r="A31" s="5" t="s">
        <v>115</v>
      </c>
      <c r="B31" s="4" t="s">
        <v>116</v>
      </c>
      <c r="C31" s="10" t="e">
        <f>VLOOKUP(A31,'KNVV--BSEG'!D:D,1,0)</f>
        <v>#N/A</v>
      </c>
    </row>
    <row r="32" spans="1:4">
      <c r="A32" s="4"/>
      <c r="B32" s="4" t="s">
        <v>117</v>
      </c>
      <c r="C32" s="10" t="e">
        <f>VLOOKUP(A32,'KNVV--BSEG'!D:D,1,0)</f>
        <v>#N/A</v>
      </c>
    </row>
    <row r="33" spans="1:4">
      <c r="A33" s="4"/>
      <c r="B33" s="4" t="s">
        <v>118</v>
      </c>
      <c r="C33" s="10" t="e">
        <f>VLOOKUP(A33,'KNVV--BSEG'!D:D,1,0)</f>
        <v>#N/A</v>
      </c>
    </row>
    <row r="34" spans="1:4">
      <c r="A34" s="4"/>
      <c r="B34" s="4" t="s">
        <v>119</v>
      </c>
      <c r="C34" s="10" t="e">
        <f>VLOOKUP(A34,'KNVV--BSEG'!D:D,1,0)</f>
        <v>#N/A</v>
      </c>
    </row>
    <row r="35" spans="1:4">
      <c r="A35" s="6" t="s">
        <v>83</v>
      </c>
      <c r="B35" s="7" t="s">
        <v>88</v>
      </c>
      <c r="C35" s="10" t="e">
        <f>VLOOKUP(A35,'KNVV--BSEG'!D:D,1,0)</f>
        <v>#N/A</v>
      </c>
      <c r="D35" t="str">
        <f t="shared" ref="D35:D36" si="0">B35</f>
        <v>Payable immediately Due net</v>
      </c>
    </row>
    <row r="36" spans="1:4">
      <c r="A36" s="6" t="s">
        <v>38</v>
      </c>
      <c r="B36" s="7" t="s">
        <v>88</v>
      </c>
      <c r="C36" s="10" t="str">
        <f>VLOOKUP(A36,'KNVV--BSEG'!D:D,1,0)</f>
        <v>0201</v>
      </c>
      <c r="D36" t="str">
        <f t="shared" si="0"/>
        <v>Payable immediately Due net</v>
      </c>
    </row>
    <row r="37" spans="1:4">
      <c r="A37" s="5" t="s">
        <v>9</v>
      </c>
      <c r="B37" s="4" t="s">
        <v>120</v>
      </c>
      <c r="C37" s="10" t="e">
        <f>VLOOKUP(A37,'KNVV--BSEG'!D:D,1,0)</f>
        <v>#N/A</v>
      </c>
    </row>
    <row r="38" spans="1:4">
      <c r="A38" s="5" t="s">
        <v>121</v>
      </c>
      <c r="B38" s="4" t="s">
        <v>122</v>
      </c>
      <c r="C38" s="10" t="e">
        <f>VLOOKUP(A38,'KNVV--BSEG'!D:D,1,0)</f>
        <v>#N/A</v>
      </c>
    </row>
    <row r="39" spans="1:4">
      <c r="A39" s="5" t="s">
        <v>123</v>
      </c>
      <c r="B39" s="4" t="s">
        <v>124</v>
      </c>
      <c r="C39" s="10" t="e">
        <f>VLOOKUP(A39,'KNVV--BSEG'!D:D,1,0)</f>
        <v>#N/A</v>
      </c>
    </row>
    <row r="40" spans="1:4">
      <c r="A40" s="6" t="s">
        <v>20</v>
      </c>
      <c r="B40" s="7" t="s">
        <v>91</v>
      </c>
      <c r="C40" s="10" t="str">
        <f>VLOOKUP(A40,'KNVV--BSEG'!D:D,1,0)</f>
        <v>0460</v>
      </c>
      <c r="D40" t="str">
        <f>B40</f>
        <v>within 30 days Due net</v>
      </c>
    </row>
    <row r="41" spans="1:4">
      <c r="A41" s="5" t="s">
        <v>125</v>
      </c>
      <c r="B41" s="4" t="s">
        <v>126</v>
      </c>
      <c r="C41" s="10" t="e">
        <f>VLOOKUP(A41,'KNVV--BSEG'!D:D,1,0)</f>
        <v>#N/A</v>
      </c>
    </row>
    <row r="42" spans="1:4">
      <c r="A42" s="6" t="s">
        <v>74</v>
      </c>
      <c r="B42" s="7" t="s">
        <v>127</v>
      </c>
      <c r="C42" s="10" t="e">
        <f>VLOOKUP(A42,'KNVV--BSEG'!D:D,1,0)</f>
        <v>#N/A</v>
      </c>
      <c r="D42" t="str">
        <f>B42</f>
        <v>within 35 days Due net</v>
      </c>
    </row>
    <row r="43" spans="1:4">
      <c r="A43" s="5" t="s">
        <v>128</v>
      </c>
      <c r="B43" s="4" t="s">
        <v>129</v>
      </c>
      <c r="C43" s="10" t="e">
        <f>VLOOKUP(A43,'KNVV--BSEG'!D:D,1,0)</f>
        <v>#N/A</v>
      </c>
    </row>
    <row r="44" spans="1:4">
      <c r="A44" s="6" t="s">
        <v>31</v>
      </c>
      <c r="B44" s="7" t="s">
        <v>130</v>
      </c>
      <c r="C44" s="10" t="str">
        <f>VLOOKUP(A44,'KNVV--BSEG'!D:D,1,0)</f>
        <v>0520</v>
      </c>
      <c r="D44" t="str">
        <f>B44</f>
        <v>within 45 days Due net</v>
      </c>
    </row>
    <row r="45" spans="1:4">
      <c r="A45" s="5" t="s">
        <v>131</v>
      </c>
      <c r="B45" s="4" t="s">
        <v>132</v>
      </c>
      <c r="C45" s="10" t="e">
        <f>VLOOKUP(A45,'KNVV--BSEG'!D:D,1,0)</f>
        <v>#N/A</v>
      </c>
    </row>
    <row r="46" spans="1:4">
      <c r="A46" s="5" t="s">
        <v>133</v>
      </c>
      <c r="B46" s="4" t="s">
        <v>134</v>
      </c>
      <c r="C46" s="10" t="e">
        <f>VLOOKUP(A46,'KNVV--BSEG'!D:D,1,0)</f>
        <v>#N/A</v>
      </c>
    </row>
    <row r="47" spans="1:4">
      <c r="A47" s="6" t="s">
        <v>69</v>
      </c>
      <c r="B47" s="7" t="s">
        <v>135</v>
      </c>
      <c r="C47" s="10" t="e">
        <f>VLOOKUP(A47,'KNVV--BSEG'!D:D,1,0)</f>
        <v>#N/A</v>
      </c>
      <c r="D47" t="str">
        <f t="shared" ref="D47:D49" si="1">B47</f>
        <v>within 110 days Due net</v>
      </c>
    </row>
    <row r="48" spans="1:4">
      <c r="A48" s="6" t="s">
        <v>75</v>
      </c>
      <c r="B48" s="7" t="s">
        <v>136</v>
      </c>
      <c r="C48" s="10" t="e">
        <f>VLOOKUP(A48,'KNVV--BSEG'!D:D,1,0)</f>
        <v>#N/A</v>
      </c>
      <c r="D48" t="str">
        <f t="shared" si="1"/>
        <v>within 80 days Due net</v>
      </c>
    </row>
    <row r="49" spans="1:4">
      <c r="A49" s="6" t="s">
        <v>64</v>
      </c>
      <c r="B49" s="7" t="s">
        <v>137</v>
      </c>
      <c r="C49" s="10" t="e">
        <f>VLOOKUP(A49,'KNVV--BSEG'!D:D,1,0)</f>
        <v>#N/A</v>
      </c>
      <c r="D49" t="str">
        <f t="shared" si="1"/>
        <v>within 90 days Due net</v>
      </c>
    </row>
    <row r="50" spans="1:4">
      <c r="A50" s="5" t="s">
        <v>138</v>
      </c>
      <c r="B50" s="4" t="s">
        <v>139</v>
      </c>
      <c r="C50" s="10" t="e">
        <f>VLOOKUP(A50,'KNVV--BSEG'!D:D,1,0)</f>
        <v>#N/A</v>
      </c>
    </row>
    <row r="51" spans="1:4">
      <c r="A51" s="5" t="s">
        <v>140</v>
      </c>
      <c r="B51" s="4" t="s">
        <v>137</v>
      </c>
      <c r="C51" s="10" t="e">
        <f>VLOOKUP(A51,'KNVV--BSEG'!D:D,1,0)</f>
        <v>#N/A</v>
      </c>
    </row>
    <row r="52" spans="1:4">
      <c r="A52" s="5" t="s">
        <v>141</v>
      </c>
      <c r="B52" s="4" t="s">
        <v>142</v>
      </c>
      <c r="C52" s="10" t="e">
        <f>VLOOKUP(A52,'KNVV--BSEG'!D:D,1,0)</f>
        <v>#N/A</v>
      </c>
    </row>
    <row r="53" spans="1:4">
      <c r="A53" s="5" t="s">
        <v>143</v>
      </c>
      <c r="B53" s="4" t="s">
        <v>144</v>
      </c>
      <c r="C53" s="10" t="e">
        <f>VLOOKUP(A53,'KNVV--BSEG'!D:D,1,0)</f>
        <v>#N/A</v>
      </c>
    </row>
    <row r="54" spans="1:4">
      <c r="A54" s="5" t="s">
        <v>145</v>
      </c>
      <c r="B54" s="4" t="s">
        <v>146</v>
      </c>
      <c r="C54" s="10" t="e">
        <f>VLOOKUP(A54,'KNVV--BSEG'!D:D,1,0)</f>
        <v>#N/A</v>
      </c>
    </row>
    <row r="55" spans="1:4">
      <c r="A55" s="6" t="s">
        <v>30</v>
      </c>
      <c r="B55" s="7" t="s">
        <v>132</v>
      </c>
      <c r="C55" s="10" t="str">
        <f>VLOOKUP(A55,'KNVV--BSEG'!D:D,1,0)</f>
        <v>0535</v>
      </c>
      <c r="D55" t="str">
        <f t="shared" ref="D55:D56" si="2">B55</f>
        <v>within 55 days Due net</v>
      </c>
    </row>
    <row r="56" spans="1:4">
      <c r="A56" s="6" t="s">
        <v>3</v>
      </c>
      <c r="B56" s="7" t="s">
        <v>146</v>
      </c>
      <c r="C56" s="10" t="str">
        <f>VLOOKUP(A56,'KNVV--BSEG'!D:D,1,0)</f>
        <v>0540</v>
      </c>
      <c r="D56" t="str">
        <f t="shared" si="2"/>
        <v>within 60 days Due net</v>
      </c>
    </row>
    <row r="57" spans="1:4">
      <c r="A57" s="5" t="s">
        <v>147</v>
      </c>
      <c r="B57" s="4" t="s">
        <v>148</v>
      </c>
      <c r="C57" s="10" t="e">
        <f>VLOOKUP(A57,'KNVV--BSEG'!D:D,1,0)</f>
        <v>#N/A</v>
      </c>
    </row>
    <row r="58" spans="1:4">
      <c r="A58" s="5" t="s">
        <v>149</v>
      </c>
      <c r="B58" s="4" t="s">
        <v>132</v>
      </c>
      <c r="C58" s="10" t="e">
        <f>VLOOKUP(A58,'KNVV--BSEG'!D:D,1,0)</f>
        <v>#N/A</v>
      </c>
    </row>
    <row r="59" spans="1:4">
      <c r="A59" s="5" t="s">
        <v>150</v>
      </c>
      <c r="B59" s="4" t="s">
        <v>151</v>
      </c>
      <c r="C59" s="10" t="e">
        <f>VLOOKUP(A59,'KNVV--BSEG'!D:D,1,0)</f>
        <v>#N/A</v>
      </c>
    </row>
    <row r="60" spans="1:4">
      <c r="A60" s="6" t="s">
        <v>67</v>
      </c>
      <c r="B60" s="7" t="s">
        <v>152</v>
      </c>
      <c r="C60" s="10" t="e">
        <f>VLOOKUP(A60,'KNVV--BSEG'!D:D,1,0)</f>
        <v>#N/A</v>
      </c>
      <c r="D60" t="str">
        <f>B60</f>
        <v>within 75 days Due net</v>
      </c>
    </row>
    <row r="61" spans="1:4">
      <c r="A61" s="5" t="s">
        <v>153</v>
      </c>
      <c r="B61" s="4" t="s">
        <v>154</v>
      </c>
      <c r="C61" s="10" t="e">
        <f>VLOOKUP(A61,'KNVV--BSEG'!D:D,1,0)</f>
        <v>#N/A</v>
      </c>
    </row>
    <row r="62" spans="1:4">
      <c r="A62" s="5" t="s">
        <v>155</v>
      </c>
      <c r="B62" s="4" t="s">
        <v>156</v>
      </c>
      <c r="C62" s="10" t="e">
        <f>VLOOKUP(A62,'KNVV--BSEG'!D:D,1,0)</f>
        <v>#N/A</v>
      </c>
    </row>
    <row r="63" spans="1:4">
      <c r="A63" s="6" t="s">
        <v>60</v>
      </c>
      <c r="B63" s="7" t="s">
        <v>137</v>
      </c>
      <c r="C63" s="10" t="e">
        <f>VLOOKUP(A63,'KNVV--BSEG'!D:D,1,0)</f>
        <v>#N/A</v>
      </c>
      <c r="D63" t="str">
        <f t="shared" ref="D63:D65" si="3">B63</f>
        <v>within 90 days Due net</v>
      </c>
    </row>
    <row r="64" spans="1:4">
      <c r="A64" s="6" t="s">
        <v>80</v>
      </c>
      <c r="B64" s="7" t="s">
        <v>157</v>
      </c>
      <c r="C64" s="10" t="e">
        <f>VLOOKUP(A64,'KNVV--BSEG'!D:D,1,0)</f>
        <v>#N/A</v>
      </c>
      <c r="D64" t="str">
        <f t="shared" si="3"/>
        <v>within 120 days Due net</v>
      </c>
    </row>
    <row r="65" spans="1:4">
      <c r="A65" s="6" t="s">
        <v>53</v>
      </c>
      <c r="B65" s="7" t="s">
        <v>158</v>
      </c>
      <c r="C65" s="10" t="e">
        <f>VLOOKUP(A65,'KNVV--BSEG'!D:D,1,0)</f>
        <v>#N/A</v>
      </c>
      <c r="D65" t="str">
        <f t="shared" si="3"/>
        <v>within 180 days Due net</v>
      </c>
    </row>
    <row r="66" spans="1:4">
      <c r="A66" s="11" t="s">
        <v>298</v>
      </c>
      <c r="B66" s="4" t="s">
        <v>159</v>
      </c>
      <c r="C66" s="10" t="e">
        <f>VLOOKUP(A66,'KNVV--BSEG'!D:D,1,0)</f>
        <v>#N/A</v>
      </c>
    </row>
    <row r="67" spans="1:4">
      <c r="A67" s="11" t="s">
        <v>299</v>
      </c>
      <c r="B67" s="4" t="s">
        <v>160</v>
      </c>
      <c r="C67" s="10" t="e">
        <f>VLOOKUP(A67,'KNVV--BSEG'!D:D,1,0)</f>
        <v>#N/A</v>
      </c>
    </row>
    <row r="68" spans="1:4">
      <c r="A68" s="11" t="s">
        <v>300</v>
      </c>
      <c r="B68" s="4" t="s">
        <v>161</v>
      </c>
      <c r="C68" s="10" t="e">
        <f>VLOOKUP(A68,'KNVV--BSEG'!D:D,1,0)</f>
        <v>#N/A</v>
      </c>
    </row>
    <row r="69" spans="1:4">
      <c r="A69" s="4"/>
      <c r="B69" s="4" t="s">
        <v>91</v>
      </c>
      <c r="C69" s="10" t="e">
        <f>VLOOKUP(A69,'KNVV--BSEG'!D:D,1,0)</f>
        <v>#N/A</v>
      </c>
    </row>
    <row r="70" spans="1:4">
      <c r="A70" s="11" t="s">
        <v>301</v>
      </c>
      <c r="B70" s="4" t="s">
        <v>162</v>
      </c>
      <c r="C70" s="10" t="e">
        <f>VLOOKUP(A70,'KNVV--BSEG'!D:D,1,0)</f>
        <v>#N/A</v>
      </c>
    </row>
    <row r="71" spans="1:4">
      <c r="A71" s="4"/>
      <c r="B71" s="4" t="s">
        <v>91</v>
      </c>
      <c r="C71" s="10" t="e">
        <f>VLOOKUP(A71,'KNVV--BSEG'!D:D,1,0)</f>
        <v>#N/A</v>
      </c>
    </row>
    <row r="72" spans="1:4">
      <c r="A72" s="11" t="s">
        <v>302</v>
      </c>
      <c r="B72" s="4" t="s">
        <v>90</v>
      </c>
      <c r="C72" s="10" t="e">
        <f>VLOOKUP(A72,'KNVV--BSEG'!D:D,1,0)</f>
        <v>#N/A</v>
      </c>
    </row>
    <row r="73" spans="1:4">
      <c r="A73" s="4"/>
      <c r="B73" s="4" t="s">
        <v>91</v>
      </c>
      <c r="C73" s="10" t="e">
        <f>VLOOKUP(A73,'KNVV--BSEG'!D:D,1,0)</f>
        <v>#N/A</v>
      </c>
    </row>
    <row r="74" spans="1:4">
      <c r="A74" s="11" t="s">
        <v>303</v>
      </c>
      <c r="B74" s="4" t="s">
        <v>163</v>
      </c>
      <c r="C74" s="10" t="e">
        <f>VLOOKUP(A74,'KNVV--BSEG'!D:D,1,0)</f>
        <v>#N/A</v>
      </c>
    </row>
    <row r="75" spans="1:4">
      <c r="A75" s="4"/>
      <c r="B75" s="4" t="s">
        <v>91</v>
      </c>
      <c r="C75" s="10" t="e">
        <f>VLOOKUP(A75,'KNVV--BSEG'!D:D,1,0)</f>
        <v>#N/A</v>
      </c>
    </row>
    <row r="76" spans="1:4">
      <c r="A76" s="11" t="s">
        <v>304</v>
      </c>
      <c r="B76" s="4" t="s">
        <v>164</v>
      </c>
      <c r="C76" s="10" t="e">
        <f>VLOOKUP(A76,'KNVV--BSEG'!D:D,1,0)</f>
        <v>#N/A</v>
      </c>
    </row>
    <row r="77" spans="1:4">
      <c r="A77" s="4"/>
      <c r="B77" s="4" t="s">
        <v>137</v>
      </c>
      <c r="C77" s="10" t="e">
        <f>VLOOKUP(A77,'KNVV--BSEG'!D:D,1,0)</f>
        <v>#N/A</v>
      </c>
    </row>
    <row r="78" spans="1:4">
      <c r="A78" s="11" t="s">
        <v>305</v>
      </c>
      <c r="B78" s="4" t="s">
        <v>165</v>
      </c>
      <c r="C78" s="10" t="e">
        <f>VLOOKUP(A78,'KNVV--BSEG'!D:D,1,0)</f>
        <v>#N/A</v>
      </c>
    </row>
    <row r="79" spans="1:4">
      <c r="A79" s="11" t="s">
        <v>306</v>
      </c>
      <c r="B79" s="4" t="s">
        <v>166</v>
      </c>
      <c r="C79" s="10" t="e">
        <f>VLOOKUP(A79,'KNVV--BSEG'!D:D,1,0)</f>
        <v>#N/A</v>
      </c>
    </row>
    <row r="80" spans="1:4">
      <c r="A80" s="11" t="s">
        <v>59</v>
      </c>
      <c r="B80" s="4" t="s">
        <v>166</v>
      </c>
      <c r="C80" s="10" t="e">
        <f>VLOOKUP(A80,'KNVV--BSEG'!D:D,1,0)</f>
        <v>#N/A</v>
      </c>
      <c r="D80" t="str">
        <f t="shared" ref="D80" si="4">B80</f>
        <v>Before 15 of the next month ;; Due net</v>
      </c>
    </row>
    <row r="81" spans="1:4">
      <c r="A81" s="11" t="s">
        <v>307</v>
      </c>
      <c r="B81" s="4" t="s">
        <v>101</v>
      </c>
      <c r="C81" s="10" t="e">
        <f>VLOOKUP(A81,'KNVV--BSEG'!D:D,1,0)</f>
        <v>#N/A</v>
      </c>
    </row>
    <row r="82" spans="1:4">
      <c r="A82" s="4"/>
      <c r="B82" s="4" t="s">
        <v>137</v>
      </c>
      <c r="C82" s="10" t="e">
        <f>VLOOKUP(A82,'KNVV--BSEG'!D:D,1,0)</f>
        <v>#N/A</v>
      </c>
    </row>
    <row r="83" spans="1:4">
      <c r="A83" s="11" t="s">
        <v>308</v>
      </c>
      <c r="B83" s="4" t="s">
        <v>167</v>
      </c>
      <c r="C83" s="10" t="e">
        <f>VLOOKUP(A83,'KNVV--BSEG'!D:D,1,0)</f>
        <v>#N/A</v>
      </c>
    </row>
    <row r="84" spans="1:4">
      <c r="A84" s="11" t="s">
        <v>70</v>
      </c>
      <c r="B84" s="4" t="s">
        <v>168</v>
      </c>
      <c r="C84" s="10" t="e">
        <f>VLOOKUP(A84,'KNVV--BSEG'!D:D,1,0)</f>
        <v>#N/A</v>
      </c>
      <c r="D84" t="str">
        <f t="shared" ref="D84" si="5">B84</f>
        <v>Before 25 of the next month ;; Due net</v>
      </c>
    </row>
    <row r="85" spans="1:4">
      <c r="A85" s="11" t="s">
        <v>309</v>
      </c>
      <c r="B85" s="4" t="s">
        <v>168</v>
      </c>
      <c r="C85" s="10" t="e">
        <f>VLOOKUP(A85,'KNVV--BSEG'!D:D,1,0)</f>
        <v>#N/A</v>
      </c>
    </row>
    <row r="86" spans="1:4">
      <c r="A86" s="11" t="s">
        <v>310</v>
      </c>
      <c r="B86" s="4" t="s">
        <v>169</v>
      </c>
      <c r="C86" s="10" t="e">
        <f>VLOOKUP(A86,'KNVV--BSEG'!D:D,1,0)</f>
        <v>#N/A</v>
      </c>
    </row>
    <row r="87" spans="1:4">
      <c r="A87" s="4"/>
      <c r="B87" s="4" t="s">
        <v>146</v>
      </c>
      <c r="C87" s="10" t="e">
        <f>VLOOKUP(A87,'KNVV--BSEG'!D:D,1,0)</f>
        <v>#N/A</v>
      </c>
    </row>
    <row r="88" spans="1:4">
      <c r="A88" s="11" t="s">
        <v>79</v>
      </c>
      <c r="B88" s="4" t="s">
        <v>170</v>
      </c>
      <c r="C88" s="10" t="e">
        <f>VLOOKUP(A88,'KNVV--BSEG'!D:D,1,0)</f>
        <v>#N/A</v>
      </c>
      <c r="D88" t="str">
        <f t="shared" ref="D88" si="6">B88</f>
        <v>Before End of the next month ;; Due net</v>
      </c>
    </row>
    <row r="89" spans="1:4">
      <c r="A89" s="11" t="s">
        <v>311</v>
      </c>
      <c r="B89" s="4" t="s">
        <v>171</v>
      </c>
      <c r="C89" s="10" t="e">
        <f>VLOOKUP(A89,'KNVV--BSEG'!D:D,1,0)</f>
        <v>#N/A</v>
      </c>
    </row>
    <row r="90" spans="1:4">
      <c r="A90" s="4"/>
      <c r="B90" s="4" t="s">
        <v>172</v>
      </c>
      <c r="C90" s="10" t="e">
        <f>VLOOKUP(A90,'KNVV--BSEG'!D:D,1,0)</f>
        <v>#N/A</v>
      </c>
    </row>
    <row r="91" spans="1:4">
      <c r="A91" s="11" t="s">
        <v>312</v>
      </c>
      <c r="B91" s="4" t="s">
        <v>107</v>
      </c>
      <c r="C91" s="10" t="e">
        <f>VLOOKUP(A91,'KNVV--BSEG'!D:D,1,0)</f>
        <v>#N/A</v>
      </c>
    </row>
    <row r="92" spans="1:4">
      <c r="A92" s="4"/>
      <c r="B92" s="4" t="s">
        <v>173</v>
      </c>
      <c r="C92" s="10" t="e">
        <f>VLOOKUP(A92,'KNVV--BSEG'!D:D,1,0)</f>
        <v>#N/A</v>
      </c>
    </row>
    <row r="93" spans="1:4">
      <c r="A93" s="11" t="s">
        <v>313</v>
      </c>
      <c r="B93" s="4" t="s">
        <v>102</v>
      </c>
      <c r="C93" s="10" t="e">
        <f>VLOOKUP(A93,'KNVV--BSEG'!D:D,1,0)</f>
        <v>#N/A</v>
      </c>
    </row>
    <row r="94" spans="1:4">
      <c r="A94" s="11" t="s">
        <v>81</v>
      </c>
      <c r="B94" s="4" t="s">
        <v>107</v>
      </c>
      <c r="C94" s="10" t="e">
        <f>VLOOKUP(A94,'KNVV--BSEG'!D:D,1,0)</f>
        <v>#N/A</v>
      </c>
      <c r="D94" t="str">
        <f>B94&amp;", "&amp;B95</f>
        <v>For Invoicing up to End  of Month,   Before 20 in 2 months Due net</v>
      </c>
    </row>
    <row r="95" spans="1:4">
      <c r="A95" s="4"/>
      <c r="B95" s="4" t="s">
        <v>174</v>
      </c>
      <c r="C95" s="10" t="e">
        <f>VLOOKUP(A95,'KNVV--BSEG'!D:D,1,0)</f>
        <v>#N/A</v>
      </c>
    </row>
    <row r="96" spans="1:4">
      <c r="A96" s="11" t="s">
        <v>78</v>
      </c>
      <c r="B96" s="4" t="s">
        <v>107</v>
      </c>
      <c r="C96" s="10" t="e">
        <f>VLOOKUP(A96,'KNVV--BSEG'!D:D,1,0)</f>
        <v>#N/A</v>
      </c>
      <c r="D96" t="str">
        <f>B96&amp;", "&amp;B97</f>
        <v>For Invoicing up to End  of Month,   Before 1 in 3 months Due net</v>
      </c>
    </row>
    <row r="97" spans="1:4">
      <c r="A97" s="4"/>
      <c r="B97" s="4" t="s">
        <v>175</v>
      </c>
      <c r="C97" s="10" t="e">
        <f>VLOOKUP(A97,'KNVV--BSEG'!D:D,1,0)</f>
        <v>#N/A</v>
      </c>
    </row>
    <row r="98" spans="1:4">
      <c r="A98" s="11" t="s">
        <v>56</v>
      </c>
      <c r="B98" s="4" t="s">
        <v>107</v>
      </c>
      <c r="C98" s="10" t="e">
        <f>VLOOKUP(A98,'KNVV--BSEG'!D:D,1,0)</f>
        <v>#N/A</v>
      </c>
      <c r="D98" t="str">
        <f>B98&amp;", "&amp;B99</f>
        <v>For Invoicing up to End  of Month,   Before 15 in 3 months Due net</v>
      </c>
    </row>
    <row r="99" spans="1:4">
      <c r="A99" s="4"/>
      <c r="B99" s="4" t="s">
        <v>176</v>
      </c>
      <c r="C99" s="10" t="e">
        <f>VLOOKUP(A99,'KNVV--BSEG'!D:D,1,0)</f>
        <v>#N/A</v>
      </c>
    </row>
    <row r="100" spans="1:4">
      <c r="A100" s="11" t="s">
        <v>314</v>
      </c>
      <c r="B100" s="4" t="s">
        <v>107</v>
      </c>
      <c r="C100" s="10" t="e">
        <f>VLOOKUP(A100,'KNVV--BSEG'!D:D,1,0)</f>
        <v>#N/A</v>
      </c>
    </row>
    <row r="101" spans="1:4">
      <c r="A101" s="4"/>
      <c r="B101" s="4" t="s">
        <v>177</v>
      </c>
      <c r="C101" s="10" t="e">
        <f>VLOOKUP(A101,'KNVV--BSEG'!D:D,1,0)</f>
        <v>#N/A</v>
      </c>
    </row>
    <row r="102" spans="1:4">
      <c r="A102" s="11" t="s">
        <v>315</v>
      </c>
      <c r="B102" s="4" t="s">
        <v>178</v>
      </c>
      <c r="C102" s="10" t="e">
        <f>VLOOKUP(A102,'KNVV--BSEG'!D:D,1,0)</f>
        <v>#N/A</v>
      </c>
    </row>
    <row r="103" spans="1:4">
      <c r="A103" s="11" t="s">
        <v>316</v>
      </c>
      <c r="B103" s="4" t="s">
        <v>178</v>
      </c>
      <c r="C103" s="10" t="e">
        <f>VLOOKUP(A103,'KNVV--BSEG'!D:D,1,0)</f>
        <v>#N/A</v>
      </c>
    </row>
    <row r="104" spans="1:4">
      <c r="A104" s="11" t="s">
        <v>317</v>
      </c>
      <c r="B104" s="4" t="s">
        <v>107</v>
      </c>
      <c r="C104" s="10" t="e">
        <f>VLOOKUP(A104,'KNVV--BSEG'!D:D,1,0)</f>
        <v>#N/A</v>
      </c>
    </row>
    <row r="105" spans="1:4">
      <c r="A105" s="4"/>
      <c r="B105" s="4" t="s">
        <v>179</v>
      </c>
      <c r="C105" s="10" t="e">
        <f>VLOOKUP(A105,'KNVV--BSEG'!D:D,1,0)</f>
        <v>#N/A</v>
      </c>
    </row>
    <row r="106" spans="1:4">
      <c r="A106" s="11" t="s">
        <v>318</v>
      </c>
      <c r="B106" s="4" t="s">
        <v>180</v>
      </c>
      <c r="C106" s="10" t="e">
        <f>VLOOKUP(A106,'KNVV--BSEG'!D:D,1,0)</f>
        <v>#N/A</v>
      </c>
    </row>
    <row r="107" spans="1:4">
      <c r="A107" s="11" t="s">
        <v>319</v>
      </c>
      <c r="B107" s="4" t="s">
        <v>181</v>
      </c>
      <c r="C107" s="10" t="e">
        <f>VLOOKUP(A107,'KNVV--BSEG'!D:D,1,0)</f>
        <v>#N/A</v>
      </c>
    </row>
    <row r="108" spans="1:4">
      <c r="A108" s="4"/>
      <c r="B108" s="4" t="s">
        <v>106</v>
      </c>
      <c r="C108" s="10" t="e">
        <f>VLOOKUP(A108,'KNVV--BSEG'!D:D,1,0)</f>
        <v>#N/A</v>
      </c>
    </row>
    <row r="109" spans="1:4">
      <c r="A109" s="4"/>
      <c r="B109" s="4" t="s">
        <v>107</v>
      </c>
      <c r="C109" s="10" t="e">
        <f>VLOOKUP(A109,'KNVV--BSEG'!D:D,1,0)</f>
        <v>#N/A</v>
      </c>
    </row>
    <row r="110" spans="1:4">
      <c r="A110" s="4"/>
      <c r="B110" s="4" t="s">
        <v>182</v>
      </c>
      <c r="C110" s="10" t="e">
        <f>VLOOKUP(A110,'KNVV--BSEG'!D:D,1,0)</f>
        <v>#N/A</v>
      </c>
    </row>
    <row r="111" spans="1:4">
      <c r="A111" s="11" t="s">
        <v>41</v>
      </c>
      <c r="B111" s="4" t="s">
        <v>88</v>
      </c>
      <c r="C111" s="10" t="str">
        <f>VLOOKUP(A111,'KNVV--BSEG'!D:D,1,0)</f>
        <v>6100</v>
      </c>
      <c r="D111" t="str">
        <f t="shared" ref="D111" si="7">B111</f>
        <v>Payable immediately Due net</v>
      </c>
    </row>
    <row r="112" spans="1:4">
      <c r="A112" s="11" t="s">
        <v>320</v>
      </c>
      <c r="B112" s="4" t="s">
        <v>183</v>
      </c>
      <c r="C112" s="10" t="e">
        <f>VLOOKUP(A112,'KNVV--BSEG'!D:D,1,0)</f>
        <v>#N/A</v>
      </c>
    </row>
    <row r="113" spans="1:3">
      <c r="A113" s="4"/>
      <c r="B113" s="4" t="s">
        <v>184</v>
      </c>
      <c r="C113" s="10" t="e">
        <f>VLOOKUP(A113,'KNVV--BSEG'!D:D,1,0)</f>
        <v>#N/A</v>
      </c>
    </row>
    <row r="114" spans="1:3">
      <c r="A114" s="4"/>
      <c r="B114" s="4" t="s">
        <v>185</v>
      </c>
      <c r="C114" s="10" t="e">
        <f>VLOOKUP(A114,'KNVV--BSEG'!D:D,1,0)</f>
        <v>#N/A</v>
      </c>
    </row>
    <row r="115" spans="1:3">
      <c r="A115" s="4"/>
      <c r="B115" s="4" t="s">
        <v>186</v>
      </c>
      <c r="C115" s="10" t="e">
        <f>VLOOKUP(A115,'KNVV--BSEG'!D:D,1,0)</f>
        <v>#N/A</v>
      </c>
    </row>
    <row r="116" spans="1:3">
      <c r="A116" s="4"/>
      <c r="B116" s="4" t="s">
        <v>187</v>
      </c>
      <c r="C116" s="10" t="e">
        <f>VLOOKUP(A116,'KNVV--BSEG'!D:D,1,0)</f>
        <v>#N/A</v>
      </c>
    </row>
    <row r="117" spans="1:3">
      <c r="A117" s="4"/>
      <c r="B117" s="4" t="s">
        <v>188</v>
      </c>
      <c r="C117" s="10" t="e">
        <f>VLOOKUP(A117,'KNVV--BSEG'!D:D,1,0)</f>
        <v>#N/A</v>
      </c>
    </row>
    <row r="118" spans="1:3">
      <c r="A118" s="4"/>
      <c r="B118" s="4" t="s">
        <v>189</v>
      </c>
      <c r="C118" s="10" t="e">
        <f>VLOOKUP(A118,'KNVV--BSEG'!D:D,1,0)</f>
        <v>#N/A</v>
      </c>
    </row>
    <row r="119" spans="1:3">
      <c r="A119" s="4"/>
      <c r="B119" s="4" t="s">
        <v>190</v>
      </c>
      <c r="C119" s="10" t="e">
        <f>VLOOKUP(A119,'KNVV--BSEG'!D:D,1,0)</f>
        <v>#N/A</v>
      </c>
    </row>
    <row r="120" spans="1:3">
      <c r="A120" s="4"/>
      <c r="B120" s="4" t="s">
        <v>191</v>
      </c>
      <c r="C120" s="10" t="e">
        <f>VLOOKUP(A120,'KNVV--BSEG'!D:D,1,0)</f>
        <v>#N/A</v>
      </c>
    </row>
    <row r="121" spans="1:3">
      <c r="A121" s="4"/>
      <c r="B121" s="4" t="s">
        <v>192</v>
      </c>
      <c r="C121" s="10" t="e">
        <f>VLOOKUP(A121,'KNVV--BSEG'!D:D,1,0)</f>
        <v>#N/A</v>
      </c>
    </row>
    <row r="122" spans="1:3">
      <c r="A122" s="4"/>
      <c r="B122" s="4" t="s">
        <v>107</v>
      </c>
      <c r="C122" s="10" t="e">
        <f>VLOOKUP(A122,'KNVV--BSEG'!D:D,1,0)</f>
        <v>#N/A</v>
      </c>
    </row>
    <row r="123" spans="1:3">
      <c r="A123" s="4"/>
      <c r="B123" s="4" t="s">
        <v>193</v>
      </c>
      <c r="C123" s="10" t="e">
        <f>VLOOKUP(A123,'KNVV--BSEG'!D:D,1,0)</f>
        <v>#N/A</v>
      </c>
    </row>
    <row r="124" spans="1:3">
      <c r="A124" s="11" t="s">
        <v>321</v>
      </c>
      <c r="B124" s="4" t="s">
        <v>194</v>
      </c>
      <c r="C124" s="10" t="e">
        <f>VLOOKUP(A124,'KNVV--BSEG'!D:D,1,0)</f>
        <v>#N/A</v>
      </c>
    </row>
    <row r="125" spans="1:3">
      <c r="A125" s="4"/>
      <c r="B125" s="4" t="s">
        <v>186</v>
      </c>
      <c r="C125" s="10" t="e">
        <f>VLOOKUP(A125,'KNVV--BSEG'!D:D,1,0)</f>
        <v>#N/A</v>
      </c>
    </row>
    <row r="126" spans="1:3">
      <c r="A126" s="4"/>
      <c r="B126" s="4" t="s">
        <v>195</v>
      </c>
      <c r="C126" s="10" t="e">
        <f>VLOOKUP(A126,'KNVV--BSEG'!D:D,1,0)</f>
        <v>#N/A</v>
      </c>
    </row>
    <row r="127" spans="1:3">
      <c r="A127" s="4"/>
      <c r="B127" s="4" t="s">
        <v>188</v>
      </c>
      <c r="C127" s="10" t="e">
        <f>VLOOKUP(A127,'KNVV--BSEG'!D:D,1,0)</f>
        <v>#N/A</v>
      </c>
    </row>
    <row r="128" spans="1:3">
      <c r="A128" s="4"/>
      <c r="B128" s="4" t="s">
        <v>189</v>
      </c>
      <c r="C128" s="10" t="e">
        <f>VLOOKUP(A128,'KNVV--BSEG'!D:D,1,0)</f>
        <v>#N/A</v>
      </c>
    </row>
    <row r="129" spans="1:3">
      <c r="A129" s="4"/>
      <c r="B129" s="4" t="s">
        <v>190</v>
      </c>
      <c r="C129" s="10" t="e">
        <f>VLOOKUP(A129,'KNVV--BSEG'!D:D,1,0)</f>
        <v>#N/A</v>
      </c>
    </row>
    <row r="130" spans="1:3">
      <c r="A130" s="4"/>
      <c r="B130" s="4" t="s">
        <v>196</v>
      </c>
      <c r="C130" s="10" t="e">
        <f>VLOOKUP(A130,'KNVV--BSEG'!D:D,1,0)</f>
        <v>#N/A</v>
      </c>
    </row>
    <row r="131" spans="1:3">
      <c r="A131" s="4"/>
      <c r="B131" s="4" t="s">
        <v>192</v>
      </c>
      <c r="C131" s="10" t="e">
        <f>VLOOKUP(A131,'KNVV--BSEG'!D:D,1,0)</f>
        <v>#N/A</v>
      </c>
    </row>
    <row r="132" spans="1:3">
      <c r="A132" s="4"/>
      <c r="B132" s="4" t="s">
        <v>107</v>
      </c>
      <c r="C132" s="10" t="e">
        <f>VLOOKUP(A132,'KNVV--BSEG'!D:D,1,0)</f>
        <v>#N/A</v>
      </c>
    </row>
    <row r="133" spans="1:3">
      <c r="A133" s="4"/>
      <c r="B133" s="4" t="s">
        <v>193</v>
      </c>
      <c r="C133" s="10" t="e">
        <f>VLOOKUP(A133,'KNVV--BSEG'!D:D,1,0)</f>
        <v>#N/A</v>
      </c>
    </row>
    <row r="134" spans="1:3">
      <c r="A134" s="11" t="s">
        <v>322</v>
      </c>
      <c r="B134" s="4" t="s">
        <v>197</v>
      </c>
      <c r="C134" s="10" t="e">
        <f>VLOOKUP(A134,'KNVV--BSEG'!D:D,1,0)</f>
        <v>#N/A</v>
      </c>
    </row>
    <row r="135" spans="1:3">
      <c r="A135" s="4"/>
      <c r="B135" s="4" t="s">
        <v>106</v>
      </c>
      <c r="C135" s="10" t="e">
        <f>VLOOKUP(A135,'KNVV--BSEG'!D:D,1,0)</f>
        <v>#N/A</v>
      </c>
    </row>
    <row r="136" spans="1:3">
      <c r="A136" s="4"/>
      <c r="B136" s="4" t="s">
        <v>107</v>
      </c>
      <c r="C136" s="10" t="e">
        <f>VLOOKUP(A136,'KNVV--BSEG'!D:D,1,0)</f>
        <v>#N/A</v>
      </c>
    </row>
    <row r="137" spans="1:3">
      <c r="A137" s="4"/>
      <c r="B137" s="4" t="s">
        <v>182</v>
      </c>
      <c r="C137" s="10" t="e">
        <f>VLOOKUP(A137,'KNVV--BSEG'!D:D,1,0)</f>
        <v>#N/A</v>
      </c>
    </row>
    <row r="138" spans="1:3">
      <c r="A138" s="11" t="s">
        <v>323</v>
      </c>
      <c r="B138" s="4" t="s">
        <v>198</v>
      </c>
      <c r="C138" s="10" t="e">
        <f>VLOOKUP(A138,'KNVV--BSEG'!D:D,1,0)</f>
        <v>#N/A</v>
      </c>
    </row>
    <row r="139" spans="1:3">
      <c r="A139" s="4"/>
      <c r="B139" s="4" t="s">
        <v>199</v>
      </c>
      <c r="C139" s="10" t="e">
        <f>VLOOKUP(A139,'KNVV--BSEG'!D:D,1,0)</f>
        <v>#N/A</v>
      </c>
    </row>
    <row r="140" spans="1:3">
      <c r="A140" s="4"/>
      <c r="B140" s="4" t="s">
        <v>200</v>
      </c>
      <c r="C140" s="10" t="e">
        <f>VLOOKUP(A140,'KNVV--BSEG'!D:D,1,0)</f>
        <v>#N/A</v>
      </c>
    </row>
    <row r="141" spans="1:3">
      <c r="A141" s="4"/>
      <c r="B141" s="4" t="s">
        <v>186</v>
      </c>
      <c r="C141" s="10" t="e">
        <f>VLOOKUP(A141,'KNVV--BSEG'!D:D,1,0)</f>
        <v>#N/A</v>
      </c>
    </row>
    <row r="142" spans="1:3">
      <c r="A142" s="4"/>
      <c r="B142" s="4" t="s">
        <v>201</v>
      </c>
      <c r="C142" s="10" t="e">
        <f>VLOOKUP(A142,'KNVV--BSEG'!D:D,1,0)</f>
        <v>#N/A</v>
      </c>
    </row>
    <row r="143" spans="1:3">
      <c r="A143" s="4"/>
      <c r="B143" s="4" t="s">
        <v>188</v>
      </c>
      <c r="C143" s="10" t="e">
        <f>VLOOKUP(A143,'KNVV--BSEG'!D:D,1,0)</f>
        <v>#N/A</v>
      </c>
    </row>
    <row r="144" spans="1:3">
      <c r="A144" s="4"/>
      <c r="B144" s="4" t="s">
        <v>196</v>
      </c>
      <c r="C144" s="10" t="e">
        <f>VLOOKUP(A144,'KNVV--BSEG'!D:D,1,0)</f>
        <v>#N/A</v>
      </c>
    </row>
    <row r="145" spans="1:4">
      <c r="A145" s="4"/>
      <c r="B145" s="4" t="s">
        <v>106</v>
      </c>
      <c r="C145" s="10" t="e">
        <f>VLOOKUP(A145,'KNVV--BSEG'!D:D,1,0)</f>
        <v>#N/A</v>
      </c>
    </row>
    <row r="146" spans="1:4">
      <c r="A146" s="4"/>
      <c r="B146" s="4" t="s">
        <v>107</v>
      </c>
      <c r="C146" s="10" t="e">
        <f>VLOOKUP(A146,'KNVV--BSEG'!D:D,1,0)</f>
        <v>#N/A</v>
      </c>
    </row>
    <row r="147" spans="1:4">
      <c r="A147" s="4"/>
      <c r="B147" s="4" t="s">
        <v>202</v>
      </c>
      <c r="C147" s="10" t="e">
        <f>VLOOKUP(A147,'KNVV--BSEG'!D:D,1,0)</f>
        <v>#N/A</v>
      </c>
    </row>
    <row r="148" spans="1:4">
      <c r="A148" s="11" t="s">
        <v>324</v>
      </c>
      <c r="B148" s="4" t="s">
        <v>197</v>
      </c>
      <c r="C148" s="10" t="e">
        <f>VLOOKUP(A148,'KNVV--BSEG'!D:D,1,0)</f>
        <v>#N/A</v>
      </c>
    </row>
    <row r="149" spans="1:4">
      <c r="A149" s="4"/>
      <c r="B149" s="4" t="s">
        <v>182</v>
      </c>
      <c r="C149" s="10" t="e">
        <f>VLOOKUP(A149,'KNVV--BSEG'!D:D,1,0)</f>
        <v>#N/A</v>
      </c>
    </row>
    <row r="150" spans="1:4">
      <c r="A150" s="4"/>
      <c r="B150" s="4" t="s">
        <v>107</v>
      </c>
      <c r="C150" s="10" t="e">
        <f>VLOOKUP(A150,'KNVV--BSEG'!D:D,1,0)</f>
        <v>#N/A</v>
      </c>
    </row>
    <row r="151" spans="1:4">
      <c r="A151" s="4"/>
      <c r="B151" s="4" t="s">
        <v>203</v>
      </c>
      <c r="C151" s="10" t="e">
        <f>VLOOKUP(A151,'KNVV--BSEG'!D:D,1,0)</f>
        <v>#N/A</v>
      </c>
    </row>
    <row r="152" spans="1:4">
      <c r="A152" s="11" t="s">
        <v>325</v>
      </c>
      <c r="B152" s="4" t="s">
        <v>197</v>
      </c>
      <c r="C152" s="10" t="e">
        <f>VLOOKUP(A152,'KNVV--BSEG'!D:D,1,0)</f>
        <v>#N/A</v>
      </c>
    </row>
    <row r="153" spans="1:4">
      <c r="A153" s="4"/>
      <c r="B153" s="4" t="s">
        <v>204</v>
      </c>
      <c r="C153" s="10" t="e">
        <f>VLOOKUP(A153,'KNVV--BSEG'!D:D,1,0)</f>
        <v>#N/A</v>
      </c>
    </row>
    <row r="154" spans="1:4">
      <c r="A154" s="4"/>
      <c r="B154" s="4" t="s">
        <v>107</v>
      </c>
      <c r="C154" s="10" t="e">
        <f>VLOOKUP(A154,'KNVV--BSEG'!D:D,1,0)</f>
        <v>#N/A</v>
      </c>
    </row>
    <row r="155" spans="1:4">
      <c r="A155" s="4"/>
      <c r="B155" s="4" t="s">
        <v>205</v>
      </c>
      <c r="C155" s="10" t="e">
        <f>VLOOKUP(A155,'KNVV--BSEG'!D:D,1,0)</f>
        <v>#N/A</v>
      </c>
    </row>
    <row r="156" spans="1:4">
      <c r="A156" s="11" t="s">
        <v>326</v>
      </c>
      <c r="B156" s="4" t="s">
        <v>107</v>
      </c>
      <c r="C156" s="10" t="e">
        <f>VLOOKUP(A156,'KNVV--BSEG'!D:D,1,0)</f>
        <v>#N/A</v>
      </c>
    </row>
    <row r="157" spans="1:4">
      <c r="A157" s="4"/>
      <c r="B157" s="4" t="s">
        <v>109</v>
      </c>
      <c r="C157" s="10" t="e">
        <f>VLOOKUP(A157,'KNVV--BSEG'!D:D,1,0)</f>
        <v>#N/A</v>
      </c>
    </row>
    <row r="158" spans="1:4">
      <c r="A158" s="11" t="s">
        <v>76</v>
      </c>
      <c r="B158" s="4" t="s">
        <v>197</v>
      </c>
      <c r="C158" s="10" t="e">
        <f>VLOOKUP(A158,'KNVV--BSEG'!D:D,1,0)</f>
        <v>#N/A</v>
      </c>
      <c r="D158" t="str">
        <f>B158&amp;", "&amp;B159&amp;", "&amp;B160&amp;", "&amp;B161</f>
        <v>For Invoicing up to 25 of Month,   Before 15 in 2 months Due net, For Invoicing up to End  of Month,   Before 15 in 3 months Due net</v>
      </c>
    </row>
    <row r="159" spans="1:4">
      <c r="A159" s="4"/>
      <c r="B159" s="4" t="s">
        <v>109</v>
      </c>
      <c r="C159" s="10" t="e">
        <f>VLOOKUP(A159,'KNVV--BSEG'!D:D,1,0)</f>
        <v>#N/A</v>
      </c>
    </row>
    <row r="160" spans="1:4">
      <c r="A160" s="4"/>
      <c r="B160" s="4" t="s">
        <v>107</v>
      </c>
      <c r="C160" s="10" t="e">
        <f>VLOOKUP(A160,'KNVV--BSEG'!D:D,1,0)</f>
        <v>#N/A</v>
      </c>
    </row>
    <row r="161" spans="1:4">
      <c r="A161" s="4"/>
      <c r="B161" s="4" t="s">
        <v>176</v>
      </c>
      <c r="C161" s="10" t="e">
        <f>VLOOKUP(A161,'KNVV--BSEG'!D:D,1,0)</f>
        <v>#N/A</v>
      </c>
    </row>
    <row r="162" spans="1:4">
      <c r="A162" s="11" t="s">
        <v>327</v>
      </c>
      <c r="B162" s="4" t="s">
        <v>167</v>
      </c>
      <c r="C162" s="10" t="e">
        <f>VLOOKUP(A162,'KNVV--BSEG'!D:D,1,0)</f>
        <v>#N/A</v>
      </c>
    </row>
    <row r="163" spans="1:4">
      <c r="A163" s="11" t="s">
        <v>82</v>
      </c>
      <c r="B163" s="4" t="s">
        <v>206</v>
      </c>
      <c r="C163" s="10" t="e">
        <f>VLOOKUP(A163,'KNVV--BSEG'!D:D,1,0)</f>
        <v>#N/A</v>
      </c>
      <c r="D163" t="str">
        <f t="shared" ref="D163:D167" si="8">B163</f>
        <v>Before 20 in 3 months Due net</v>
      </c>
    </row>
    <row r="164" spans="1:4">
      <c r="A164" s="11" t="s">
        <v>63</v>
      </c>
      <c r="B164" s="4" t="s">
        <v>207</v>
      </c>
      <c r="C164" s="10" t="e">
        <f>VLOOKUP(A164,'KNVV--BSEG'!D:D,1,0)</f>
        <v>#N/A</v>
      </c>
      <c r="D164" t="str">
        <f t="shared" si="8"/>
        <v>Before 25 in 2 months Due net</v>
      </c>
    </row>
    <row r="165" spans="1:4">
      <c r="A165" s="11" t="s">
        <v>72</v>
      </c>
      <c r="B165" s="4" t="s">
        <v>208</v>
      </c>
      <c r="C165" s="10" t="e">
        <f>VLOOKUP(A165,'KNVV--BSEG'!D:D,1,0)</f>
        <v>#N/A</v>
      </c>
      <c r="D165" t="str">
        <f t="shared" si="8"/>
        <v>Before 25 in 3 months Due net</v>
      </c>
    </row>
    <row r="166" spans="1:4">
      <c r="A166" s="11" t="s">
        <v>73</v>
      </c>
      <c r="B166" s="4" t="s">
        <v>130</v>
      </c>
      <c r="C166" s="10" t="e">
        <f>VLOOKUP(A166,'KNVV--BSEG'!D:D,1,0)</f>
        <v>#N/A</v>
      </c>
      <c r="D166" t="str">
        <f t="shared" si="8"/>
        <v>within 45 days Due net</v>
      </c>
    </row>
    <row r="167" spans="1:4">
      <c r="A167" s="11" t="s">
        <v>0</v>
      </c>
      <c r="B167" s="4" t="s">
        <v>209</v>
      </c>
      <c r="C167" s="10" t="str">
        <f>VLOOKUP(A167,'KNVV--BSEG'!D:D,1,0)</f>
        <v>7604</v>
      </c>
      <c r="D167" t="str">
        <f t="shared" si="8"/>
        <v>within 64 days Due net</v>
      </c>
    </row>
    <row r="168" spans="1:4">
      <c r="A168" s="11" t="s">
        <v>54</v>
      </c>
      <c r="B168" s="4" t="s">
        <v>107</v>
      </c>
      <c r="C168" s="10" t="e">
        <f>VLOOKUP(A168,'KNVV--BSEG'!D:D,1,0)</f>
        <v>#N/A</v>
      </c>
      <c r="D168" t="str">
        <f>B168&amp;", "&amp;B169</f>
        <v>For Invoicing up to End  of Month,   Before End of the next month ;; Due net</v>
      </c>
    </row>
    <row r="169" spans="1:4">
      <c r="A169" s="4"/>
      <c r="B169" s="4" t="s">
        <v>106</v>
      </c>
      <c r="C169" s="10" t="e">
        <f>VLOOKUP(A169,'KNVV--BSEG'!D:D,1,0)</f>
        <v>#N/A</v>
      </c>
    </row>
    <row r="170" spans="1:4">
      <c r="A170" s="11" t="s">
        <v>328</v>
      </c>
      <c r="B170" s="4" t="s">
        <v>107</v>
      </c>
      <c r="C170" s="10" t="e">
        <f>VLOOKUP(A170,'KNVV--BSEG'!D:D,1,0)</f>
        <v>#N/A</v>
      </c>
    </row>
    <row r="171" spans="1:4">
      <c r="A171" s="4"/>
      <c r="B171" s="4" t="s">
        <v>106</v>
      </c>
      <c r="C171" s="10" t="e">
        <f>VLOOKUP(A171,'KNVV--BSEG'!D:D,1,0)</f>
        <v>#N/A</v>
      </c>
    </row>
    <row r="172" spans="1:4">
      <c r="A172" s="11" t="s">
        <v>57</v>
      </c>
      <c r="B172" s="4" t="s">
        <v>107</v>
      </c>
      <c r="C172" s="10" t="e">
        <f>VLOOKUP(A172,'KNVV--BSEG'!D:D,1,0)</f>
        <v>#N/A</v>
      </c>
      <c r="D172" t="str">
        <f>B172&amp;", "&amp;B173</f>
        <v>For Invoicing up to End  of Month,   Before 21 of the next month ;; Due net</v>
      </c>
    </row>
    <row r="173" spans="1:4">
      <c r="A173" s="4"/>
      <c r="B173" s="4" t="s">
        <v>210</v>
      </c>
      <c r="C173" s="10" t="e">
        <f>VLOOKUP(A173,'KNVV--BSEG'!D:D,1,0)</f>
        <v>#N/A</v>
      </c>
    </row>
    <row r="174" spans="1:4">
      <c r="A174" s="11" t="s">
        <v>52</v>
      </c>
      <c r="B174" s="4" t="s">
        <v>107</v>
      </c>
      <c r="C174" s="10" t="e">
        <f>VLOOKUP(A174,'KNVV--BSEG'!D:D,1,0)</f>
        <v>#N/A</v>
      </c>
      <c r="D174" t="str">
        <f>B174&amp;", "&amp;B175</f>
        <v>For Invoicing up to End  of Month,   Before End of the next month ;; Due net</v>
      </c>
    </row>
    <row r="175" spans="1:4">
      <c r="A175" s="4"/>
      <c r="B175" s="4" t="s">
        <v>106</v>
      </c>
      <c r="C175" s="10" t="e">
        <f>VLOOKUP(A175,'KNVV--BSEG'!D:D,1,0)</f>
        <v>#N/A</v>
      </c>
    </row>
    <row r="176" spans="1:4">
      <c r="A176" s="11" t="s">
        <v>329</v>
      </c>
      <c r="B176" s="4" t="s">
        <v>104</v>
      </c>
      <c r="C176" s="10" t="e">
        <f>VLOOKUP(A176,'KNVV--BSEG'!D:D,1,0)</f>
        <v>#N/A</v>
      </c>
    </row>
    <row r="177" spans="1:4">
      <c r="A177" s="4"/>
      <c r="B177" s="4" t="s">
        <v>211</v>
      </c>
      <c r="C177" s="10" t="e">
        <f>VLOOKUP(A177,'KNVV--BSEG'!D:D,1,0)</f>
        <v>#N/A</v>
      </c>
    </row>
    <row r="178" spans="1:4">
      <c r="A178" s="4"/>
      <c r="B178" s="4" t="s">
        <v>107</v>
      </c>
      <c r="C178" s="10" t="e">
        <f>VLOOKUP(A178,'KNVV--BSEG'!D:D,1,0)</f>
        <v>#N/A</v>
      </c>
    </row>
    <row r="179" spans="1:4">
      <c r="A179" s="4"/>
      <c r="B179" s="4" t="s">
        <v>212</v>
      </c>
      <c r="C179" s="10" t="e">
        <f>VLOOKUP(A179,'KNVV--BSEG'!D:D,1,0)</f>
        <v>#N/A</v>
      </c>
    </row>
    <row r="180" spans="1:4">
      <c r="A180" s="11" t="s">
        <v>58</v>
      </c>
      <c r="B180" s="4" t="s">
        <v>107</v>
      </c>
      <c r="C180" s="10" t="e">
        <f>VLOOKUP(A180,'KNVV--BSEG'!D:D,1,0)</f>
        <v>#N/A</v>
      </c>
      <c r="D180" s="12" t="str">
        <f>B180&amp;", "&amp;B181</f>
        <v>For Invoicing up to End  of Month,   Before End of the next month ;; Due net</v>
      </c>
    </row>
    <row r="181" spans="1:4">
      <c r="A181" s="4"/>
      <c r="B181" s="4" t="s">
        <v>106</v>
      </c>
      <c r="C181" s="10" t="e">
        <f>VLOOKUP(A181,'KNVV--BSEG'!D:D,1,0)</f>
        <v>#N/A</v>
      </c>
    </row>
    <row r="182" spans="1:4">
      <c r="A182" s="11" t="s">
        <v>330</v>
      </c>
      <c r="B182" s="4" t="s">
        <v>107</v>
      </c>
      <c r="C182" s="10" t="e">
        <f>VLOOKUP(A182,'KNVV--BSEG'!D:D,1,0)</f>
        <v>#N/A</v>
      </c>
    </row>
    <row r="183" spans="1:4">
      <c r="A183" s="4"/>
      <c r="B183" s="4" t="s">
        <v>188</v>
      </c>
      <c r="C183" s="10" t="e">
        <f>VLOOKUP(A183,'KNVV--BSEG'!D:D,1,0)</f>
        <v>#N/A</v>
      </c>
    </row>
    <row r="184" spans="1:4">
      <c r="A184" s="11" t="s">
        <v>331</v>
      </c>
      <c r="B184" s="4" t="s">
        <v>107</v>
      </c>
      <c r="C184" s="10" t="e">
        <f>VLOOKUP(A184,'KNVV--BSEG'!D:D,1,0)</f>
        <v>#N/A</v>
      </c>
    </row>
    <row r="185" spans="1:4">
      <c r="A185" s="4"/>
      <c r="B185" s="4" t="s">
        <v>204</v>
      </c>
      <c r="C185" s="10" t="e">
        <f>VLOOKUP(A185,'KNVV--BSEG'!D:D,1,0)</f>
        <v>#N/A</v>
      </c>
    </row>
    <row r="186" spans="1:4">
      <c r="A186" s="11" t="s">
        <v>332</v>
      </c>
      <c r="B186" s="4" t="s">
        <v>107</v>
      </c>
      <c r="C186" s="10" t="e">
        <f>VLOOKUP(A186,'KNVV--BSEG'!D:D,1,0)</f>
        <v>#N/A</v>
      </c>
    </row>
    <row r="187" spans="1:4">
      <c r="A187" s="4"/>
      <c r="B187" s="4" t="s">
        <v>213</v>
      </c>
      <c r="C187" s="10" t="e">
        <f>VLOOKUP(A187,'KNVV--BSEG'!D:D,1,0)</f>
        <v>#N/A</v>
      </c>
    </row>
    <row r="188" spans="1:4">
      <c r="A188" s="11" t="s">
        <v>333</v>
      </c>
      <c r="B188" s="4" t="s">
        <v>107</v>
      </c>
      <c r="C188" s="10" t="e">
        <f>VLOOKUP(A188,'KNVV--BSEG'!D:D,1,0)</f>
        <v>#N/A</v>
      </c>
    </row>
    <row r="189" spans="1:4">
      <c r="A189" s="4"/>
      <c r="B189" s="4" t="s">
        <v>182</v>
      </c>
      <c r="C189" s="10" t="e">
        <f>VLOOKUP(A189,'KNVV--BSEG'!D:D,1,0)</f>
        <v>#N/A</v>
      </c>
    </row>
    <row r="190" spans="1:4">
      <c r="A190" s="11" t="s">
        <v>334</v>
      </c>
      <c r="B190" s="4" t="s">
        <v>107</v>
      </c>
      <c r="C190" s="10" t="e">
        <f>VLOOKUP(A190,'KNVV--BSEG'!D:D,1,0)</f>
        <v>#N/A</v>
      </c>
    </row>
    <row r="191" spans="1:4">
      <c r="A191" s="4"/>
      <c r="B191" s="4" t="s">
        <v>212</v>
      </c>
      <c r="C191" s="10" t="e">
        <f>VLOOKUP(A191,'KNVV--BSEG'!D:D,1,0)</f>
        <v>#N/A</v>
      </c>
    </row>
    <row r="192" spans="1:4">
      <c r="A192" s="11" t="s">
        <v>335</v>
      </c>
      <c r="B192" s="4" t="s">
        <v>126</v>
      </c>
      <c r="C192" s="10" t="e">
        <f>VLOOKUP(A192,'KNVV--BSEG'!D:D,1,0)</f>
        <v>#N/A</v>
      </c>
    </row>
    <row r="193" spans="1:3">
      <c r="A193" s="4" t="s">
        <v>6</v>
      </c>
      <c r="B193" s="4" t="s">
        <v>214</v>
      </c>
      <c r="C193" s="10" t="e">
        <f>VLOOKUP(A193,'KNVV--BSEG'!D:D,1,0)</f>
        <v>#N/A</v>
      </c>
    </row>
    <row r="194" spans="1:3">
      <c r="A194" s="4" t="s">
        <v>215</v>
      </c>
      <c r="B194" s="4" t="s">
        <v>216</v>
      </c>
      <c r="C194" s="10" t="e">
        <f>VLOOKUP(A194,'KNVV--BSEG'!D:D,1,0)</f>
        <v>#N/A</v>
      </c>
    </row>
    <row r="195" spans="1:3">
      <c r="A195" s="4" t="s">
        <v>217</v>
      </c>
      <c r="B195" s="4" t="s">
        <v>166</v>
      </c>
      <c r="C195" s="10" t="e">
        <f>VLOOKUP(A195,'KNVV--BSEG'!D:D,1,0)</f>
        <v>#N/A</v>
      </c>
    </row>
    <row r="196" spans="1:3">
      <c r="A196" s="4" t="s">
        <v>218</v>
      </c>
      <c r="B196" s="4" t="s">
        <v>219</v>
      </c>
      <c r="C196" s="10" t="e">
        <f>VLOOKUP(A196,'KNVV--BSEG'!D:D,1,0)</f>
        <v>#N/A</v>
      </c>
    </row>
    <row r="197" spans="1:3">
      <c r="A197" s="4" t="s">
        <v>220</v>
      </c>
      <c r="B197" s="4" t="s">
        <v>102</v>
      </c>
      <c r="C197" s="10" t="e">
        <f>VLOOKUP(A197,'KNVV--BSEG'!D:D,1,0)</f>
        <v>#N/A</v>
      </c>
    </row>
    <row r="198" spans="1:3">
      <c r="A198" s="4" t="s">
        <v>221</v>
      </c>
      <c r="B198" s="4" t="s">
        <v>222</v>
      </c>
      <c r="C198" s="10" t="e">
        <f>VLOOKUP(A198,'KNVV--BSEG'!D:D,1,0)</f>
        <v>#N/A</v>
      </c>
    </row>
    <row r="199" spans="1:3">
      <c r="A199" s="4" t="s">
        <v>223</v>
      </c>
      <c r="B199" s="4" t="s">
        <v>224</v>
      </c>
      <c r="C199" s="10" t="e">
        <f>VLOOKUP(A199,'KNVV--BSEG'!D:D,1,0)</f>
        <v>#N/A</v>
      </c>
    </row>
    <row r="200" spans="1:3">
      <c r="A200" s="4" t="s">
        <v>225</v>
      </c>
      <c r="B200" s="4" t="s">
        <v>226</v>
      </c>
      <c r="C200" s="10" t="e">
        <f>VLOOKUP(A200,'KNVV--BSEG'!D:D,1,0)</f>
        <v>#N/A</v>
      </c>
    </row>
    <row r="201" spans="1:3">
      <c r="A201" s="4" t="s">
        <v>227</v>
      </c>
      <c r="B201" s="4" t="s">
        <v>228</v>
      </c>
      <c r="C201" s="10" t="e">
        <f>VLOOKUP(A201,'KNVV--BSEG'!D:D,1,0)</f>
        <v>#N/A</v>
      </c>
    </row>
    <row r="202" spans="1:3">
      <c r="A202" s="4" t="s">
        <v>229</v>
      </c>
      <c r="B202" s="4" t="s">
        <v>230</v>
      </c>
      <c r="C202" s="10" t="e">
        <f>VLOOKUP(A202,'KNVV--BSEG'!D:D,1,0)</f>
        <v>#N/A</v>
      </c>
    </row>
    <row r="203" spans="1:3">
      <c r="A203" s="4" t="s">
        <v>231</v>
      </c>
      <c r="B203" s="4" t="s">
        <v>232</v>
      </c>
      <c r="C203" s="10" t="e">
        <f>VLOOKUP(A203,'KNVV--BSEG'!D:D,1,0)</f>
        <v>#N/A</v>
      </c>
    </row>
    <row r="204" spans="1:3">
      <c r="A204" s="4"/>
      <c r="B204" s="4" t="s">
        <v>226</v>
      </c>
      <c r="C204" s="10" t="e">
        <f>VLOOKUP(A204,'KNVV--BSEG'!D:D,1,0)</f>
        <v>#N/A</v>
      </c>
    </row>
    <row r="205" spans="1:3">
      <c r="A205" s="4" t="s">
        <v>233</v>
      </c>
      <c r="B205" s="4" t="s">
        <v>101</v>
      </c>
      <c r="C205" s="10" t="e">
        <f>VLOOKUP(A205,'KNVV--BSEG'!D:D,1,0)</f>
        <v>#N/A</v>
      </c>
    </row>
    <row r="206" spans="1:3">
      <c r="A206" s="4"/>
      <c r="B206" s="4" t="s">
        <v>226</v>
      </c>
      <c r="C206" s="10" t="e">
        <f>VLOOKUP(A206,'KNVV--BSEG'!D:D,1,0)</f>
        <v>#N/A</v>
      </c>
    </row>
    <row r="207" spans="1:3">
      <c r="A207" s="4" t="s">
        <v>234</v>
      </c>
      <c r="B207" s="4" t="s">
        <v>235</v>
      </c>
      <c r="C207" s="10" t="e">
        <f>VLOOKUP(A207,'KNVV--BSEG'!D:D,1,0)</f>
        <v>#N/A</v>
      </c>
    </row>
    <row r="208" spans="1:3">
      <c r="A208" s="4"/>
      <c r="B208" s="4" t="s">
        <v>226</v>
      </c>
      <c r="C208" s="10" t="e">
        <f>VLOOKUP(A208,'KNVV--BSEG'!D:D,1,0)</f>
        <v>#N/A</v>
      </c>
    </row>
    <row r="209" spans="1:3">
      <c r="A209" s="4" t="s">
        <v>236</v>
      </c>
      <c r="B209" s="4" t="s">
        <v>237</v>
      </c>
      <c r="C209" s="10" t="e">
        <f>VLOOKUP(A209,'KNVV--BSEG'!D:D,1,0)</f>
        <v>#N/A</v>
      </c>
    </row>
    <row r="210" spans="1:3">
      <c r="A210" s="4"/>
      <c r="B210" s="4" t="s">
        <v>226</v>
      </c>
      <c r="C210" s="10" t="e">
        <f>VLOOKUP(A210,'KNVV--BSEG'!D:D,1,0)</f>
        <v>#N/A</v>
      </c>
    </row>
    <row r="211" spans="1:3">
      <c r="A211" s="4" t="s">
        <v>238</v>
      </c>
      <c r="B211" s="4" t="s">
        <v>222</v>
      </c>
      <c r="C211" s="10" t="e">
        <f>VLOOKUP(A211,'KNVV--BSEG'!D:D,1,0)</f>
        <v>#N/A</v>
      </c>
    </row>
    <row r="212" spans="1:3">
      <c r="A212" s="4" t="s">
        <v>239</v>
      </c>
      <c r="B212" s="4" t="s">
        <v>224</v>
      </c>
      <c r="C212" s="10" t="e">
        <f>VLOOKUP(A212,'KNVV--BSEG'!D:D,1,0)</f>
        <v>#N/A</v>
      </c>
    </row>
    <row r="213" spans="1:3">
      <c r="A213" s="4" t="s">
        <v>240</v>
      </c>
      <c r="B213" s="4" t="s">
        <v>226</v>
      </c>
      <c r="C213" s="10" t="e">
        <f>VLOOKUP(A213,'KNVV--BSEG'!D:D,1,0)</f>
        <v>#N/A</v>
      </c>
    </row>
    <row r="214" spans="1:3">
      <c r="A214" s="4" t="s">
        <v>241</v>
      </c>
      <c r="B214" s="4" t="s">
        <v>88</v>
      </c>
      <c r="C214" s="10" t="e">
        <f>VLOOKUP(A214,'KNVV--BSEG'!D:D,1,0)</f>
        <v>#N/A</v>
      </c>
    </row>
    <row r="215" spans="1:3">
      <c r="A215" s="4" t="s">
        <v>242</v>
      </c>
      <c r="B215" s="4" t="s">
        <v>243</v>
      </c>
      <c r="C215" s="10" t="e">
        <f>VLOOKUP(A215,'KNVV--BSEG'!D:D,1,0)</f>
        <v>#N/A</v>
      </c>
    </row>
    <row r="216" spans="1:3">
      <c r="A216" s="4" t="s">
        <v>244</v>
      </c>
      <c r="B216" s="4" t="s">
        <v>120</v>
      </c>
      <c r="C216" s="10" t="e">
        <f>VLOOKUP(A216,'KNVV--BSEG'!D:D,1,0)</f>
        <v>#N/A</v>
      </c>
    </row>
    <row r="217" spans="1:3">
      <c r="A217" s="4" t="s">
        <v>245</v>
      </c>
      <c r="B217" s="4" t="s">
        <v>91</v>
      </c>
      <c r="C217" s="10" t="e">
        <f>VLOOKUP(A217,'KNVV--BSEG'!D:D,1,0)</f>
        <v>#N/A</v>
      </c>
    </row>
    <row r="218" spans="1:3">
      <c r="A218" s="4" t="s">
        <v>246</v>
      </c>
      <c r="B218" s="4" t="s">
        <v>130</v>
      </c>
      <c r="C218" s="10" t="e">
        <f>VLOOKUP(A218,'KNVV--BSEG'!D:D,1,0)</f>
        <v>#N/A</v>
      </c>
    </row>
    <row r="219" spans="1:3">
      <c r="A219" s="4" t="s">
        <v>247</v>
      </c>
      <c r="B219" s="4" t="s">
        <v>146</v>
      </c>
      <c r="C219" s="10" t="e">
        <f>VLOOKUP(A219,'KNVV--BSEG'!D:D,1,0)</f>
        <v>#N/A</v>
      </c>
    </row>
    <row r="220" spans="1:3">
      <c r="A220" s="4" t="s">
        <v>248</v>
      </c>
      <c r="B220" s="4" t="s">
        <v>137</v>
      </c>
      <c r="C220" s="10" t="e">
        <f>VLOOKUP(A220,'KNVV--BSEG'!D:D,1,0)</f>
        <v>#N/A</v>
      </c>
    </row>
    <row r="221" spans="1:3">
      <c r="A221" s="4" t="s">
        <v>249</v>
      </c>
      <c r="B221" s="4" t="s">
        <v>157</v>
      </c>
      <c r="C221" s="10" t="e">
        <f>VLOOKUP(A221,'KNVV--BSEG'!D:D,1,0)</f>
        <v>#N/A</v>
      </c>
    </row>
    <row r="222" spans="1:3">
      <c r="A222" s="4" t="s">
        <v>250</v>
      </c>
      <c r="B222" s="4" t="s">
        <v>166</v>
      </c>
      <c r="C222" s="10" t="e">
        <f>VLOOKUP(A222,'KNVV--BSEG'!D:D,1,0)</f>
        <v>#N/A</v>
      </c>
    </row>
    <row r="223" spans="1:3">
      <c r="A223" s="4" t="s">
        <v>251</v>
      </c>
      <c r="B223" s="4" t="s">
        <v>104</v>
      </c>
      <c r="C223" s="10" t="e">
        <f>VLOOKUP(A223,'KNVV--BSEG'!D:D,1,0)</f>
        <v>#N/A</v>
      </c>
    </row>
    <row r="224" spans="1:3">
      <c r="A224" s="4"/>
      <c r="B224" s="4" t="s">
        <v>212</v>
      </c>
      <c r="C224" s="10" t="e">
        <f>VLOOKUP(A224,'KNVV--BSEG'!D:D,1,0)</f>
        <v>#N/A</v>
      </c>
    </row>
    <row r="225" spans="1:4">
      <c r="A225" s="4" t="s">
        <v>252</v>
      </c>
      <c r="B225" s="4" t="s">
        <v>224</v>
      </c>
      <c r="C225" s="10" t="e">
        <f>VLOOKUP(A225,'KNVV--BSEG'!D:D,1,0)</f>
        <v>#N/A</v>
      </c>
    </row>
    <row r="226" spans="1:4">
      <c r="A226" s="4" t="s">
        <v>253</v>
      </c>
      <c r="B226" s="4" t="s">
        <v>93</v>
      </c>
      <c r="C226" s="10" t="e">
        <f>VLOOKUP(A226,'KNVV--BSEG'!D:D,1,0)</f>
        <v>#N/A</v>
      </c>
    </row>
    <row r="227" spans="1:4">
      <c r="A227" s="4" t="s">
        <v>254</v>
      </c>
      <c r="B227" s="4" t="s">
        <v>93</v>
      </c>
      <c r="C227" s="10" t="e">
        <f>VLOOKUP(A227,'KNVV--BSEG'!D:D,1,0)</f>
        <v>#N/A</v>
      </c>
    </row>
    <row r="228" spans="1:4">
      <c r="A228" s="4"/>
      <c r="B228" s="4" t="s">
        <v>91</v>
      </c>
      <c r="C228" s="10" t="e">
        <f>VLOOKUP(A228,'KNVV--BSEG'!D:D,1,0)</f>
        <v>#N/A</v>
      </c>
    </row>
    <row r="229" spans="1:4">
      <c r="A229" s="4" t="s">
        <v>255</v>
      </c>
      <c r="B229" s="4" t="s">
        <v>93</v>
      </c>
      <c r="C229" s="10" t="e">
        <f>VLOOKUP(A229,'KNVV--BSEG'!D:D,1,0)</f>
        <v>#N/A</v>
      </c>
    </row>
    <row r="230" spans="1:4">
      <c r="A230" s="4"/>
      <c r="B230" s="4" t="s">
        <v>146</v>
      </c>
      <c r="C230" s="10" t="e">
        <f>VLOOKUP(A230,'KNVV--BSEG'!D:D,1,0)</f>
        <v>#N/A</v>
      </c>
    </row>
    <row r="231" spans="1:4">
      <c r="A231" s="4" t="s">
        <v>256</v>
      </c>
      <c r="B231" s="4" t="s">
        <v>93</v>
      </c>
      <c r="C231" s="10" t="e">
        <f>VLOOKUP(A231,'KNVV--BSEG'!D:D,1,0)</f>
        <v>#N/A</v>
      </c>
    </row>
    <row r="232" spans="1:4">
      <c r="A232" s="4"/>
      <c r="B232" s="4" t="s">
        <v>257</v>
      </c>
      <c r="C232" s="10" t="e">
        <f>VLOOKUP(A232,'KNVV--BSEG'!D:D,1,0)</f>
        <v>#N/A</v>
      </c>
    </row>
    <row r="233" spans="1:4">
      <c r="A233" s="4"/>
      <c r="B233" s="4" t="s">
        <v>137</v>
      </c>
      <c r="C233" s="10" t="e">
        <f>VLOOKUP(A233,'KNVV--BSEG'!D:D,1,0)</f>
        <v>#N/A</v>
      </c>
    </row>
    <row r="234" spans="1:4">
      <c r="A234" s="4" t="s">
        <v>258</v>
      </c>
      <c r="B234" s="4" t="s">
        <v>259</v>
      </c>
      <c r="C234" s="10" t="e">
        <f>VLOOKUP(A234,'KNVV--BSEG'!D:D,1,0)</f>
        <v>#N/A</v>
      </c>
    </row>
    <row r="235" spans="1:4">
      <c r="A235" s="4" t="s">
        <v>260</v>
      </c>
      <c r="B235" s="4" t="s">
        <v>259</v>
      </c>
      <c r="C235" s="10" t="e">
        <f>VLOOKUP(A235,'KNVV--BSEG'!D:D,1,0)</f>
        <v>#N/A</v>
      </c>
    </row>
    <row r="236" spans="1:4">
      <c r="A236" s="4"/>
      <c r="B236" s="4" t="s">
        <v>261</v>
      </c>
      <c r="C236" s="10" t="e">
        <f>VLOOKUP(A236,'KNVV--BSEG'!D:D,1,0)</f>
        <v>#N/A</v>
      </c>
    </row>
    <row r="237" spans="1:4">
      <c r="A237" s="4"/>
      <c r="B237" s="4" t="s">
        <v>137</v>
      </c>
      <c r="C237" s="10" t="e">
        <f>VLOOKUP(A237,'KNVV--BSEG'!D:D,1,0)</f>
        <v>#N/A</v>
      </c>
    </row>
    <row r="238" spans="1:4">
      <c r="A238" s="7" t="s">
        <v>8</v>
      </c>
      <c r="B238" s="7" t="s">
        <v>88</v>
      </c>
      <c r="C238" s="10" t="e">
        <f>VLOOKUP(A238,'KNVV--BSEG'!D:D,1,0)</f>
        <v>#N/A</v>
      </c>
      <c r="D238" t="str">
        <f>B238</f>
        <v>Payable immediately Due net</v>
      </c>
    </row>
    <row r="239" spans="1:4">
      <c r="A239" s="4" t="s">
        <v>262</v>
      </c>
      <c r="B239" s="4" t="s">
        <v>90</v>
      </c>
      <c r="C239" s="10" t="e">
        <f>VLOOKUP(A239,'KNVV--BSEG'!D:D,1,0)</f>
        <v>#N/A</v>
      </c>
    </row>
    <row r="240" spans="1:4">
      <c r="A240" s="4"/>
      <c r="B240" s="4" t="s">
        <v>91</v>
      </c>
      <c r="C240" s="10" t="e">
        <f>VLOOKUP(A240,'KNVV--BSEG'!D:D,1,0)</f>
        <v>#N/A</v>
      </c>
    </row>
    <row r="241" spans="1:4">
      <c r="A241" s="4" t="s">
        <v>263</v>
      </c>
      <c r="B241" s="4" t="s">
        <v>93</v>
      </c>
      <c r="C241" s="10" t="e">
        <f>VLOOKUP(A241,'KNVV--BSEG'!D:D,1,0)</f>
        <v>#N/A</v>
      </c>
    </row>
    <row r="242" spans="1:4">
      <c r="A242" s="4"/>
      <c r="B242" s="4" t="s">
        <v>94</v>
      </c>
      <c r="C242" s="10" t="e">
        <f>VLOOKUP(A242,'KNVV--BSEG'!D:D,1,0)</f>
        <v>#N/A</v>
      </c>
    </row>
    <row r="243" spans="1:4">
      <c r="A243" s="4"/>
      <c r="B243" s="4" t="s">
        <v>91</v>
      </c>
      <c r="C243" s="10" t="e">
        <f>VLOOKUP(A243,'KNVV--BSEG'!D:D,1,0)</f>
        <v>#N/A</v>
      </c>
    </row>
    <row r="244" spans="1:4">
      <c r="A244" s="4" t="s">
        <v>264</v>
      </c>
      <c r="B244" s="4" t="s">
        <v>88</v>
      </c>
      <c r="C244" s="10" t="e">
        <f>VLOOKUP(A244,'KNVV--BSEG'!D:D,1,0)</f>
        <v>#N/A</v>
      </c>
    </row>
    <row r="245" spans="1:4">
      <c r="A245" s="4"/>
      <c r="B245" s="4" t="s">
        <v>96</v>
      </c>
      <c r="C245" s="10" t="e">
        <f>VLOOKUP(A245,'KNVV--BSEG'!D:D,1,0)</f>
        <v>#N/A</v>
      </c>
    </row>
    <row r="246" spans="1:4">
      <c r="A246" s="7" t="s">
        <v>28</v>
      </c>
      <c r="B246" s="7" t="s">
        <v>88</v>
      </c>
      <c r="C246" s="10" t="str">
        <f>VLOOKUP(A246,'KNVV--BSEG'!D:D,1,0)</f>
        <v>Z005</v>
      </c>
      <c r="D246" t="str">
        <f>B246&amp;", "&amp;B247</f>
        <v>Payable immediately Due net, Baseline date on 10 of next month</v>
      </c>
    </row>
    <row r="247" spans="1:4">
      <c r="A247" s="7"/>
      <c r="B247" s="7" t="s">
        <v>98</v>
      </c>
      <c r="C247" s="10" t="e">
        <f>VLOOKUP(A247,'KNVV--BSEG'!D:D,1,0)</f>
        <v>#N/A</v>
      </c>
    </row>
    <row r="248" spans="1:4">
      <c r="A248" s="4" t="s">
        <v>265</v>
      </c>
      <c r="B248" s="4" t="s">
        <v>100</v>
      </c>
      <c r="C248" s="10" t="e">
        <f>VLOOKUP(A248,'KNVV--BSEG'!D:D,1,0)</f>
        <v>#N/A</v>
      </c>
    </row>
    <row r="249" spans="1:4">
      <c r="A249" s="4"/>
      <c r="B249" s="4" t="s">
        <v>101</v>
      </c>
      <c r="C249" s="10" t="e">
        <f>VLOOKUP(A249,'KNVV--BSEG'!D:D,1,0)</f>
        <v>#N/A</v>
      </c>
    </row>
    <row r="250" spans="1:4">
      <c r="A250" s="4"/>
      <c r="B250" s="4" t="s">
        <v>102</v>
      </c>
      <c r="C250" s="10" t="e">
        <f>VLOOKUP(A250,'KNVV--BSEG'!D:D,1,0)</f>
        <v>#N/A</v>
      </c>
    </row>
    <row r="251" spans="1:4">
      <c r="A251" s="4" t="s">
        <v>266</v>
      </c>
      <c r="B251" s="4" t="s">
        <v>104</v>
      </c>
      <c r="C251" s="10" t="e">
        <f>VLOOKUP(A251,'KNVV--BSEG'!D:D,1,0)</f>
        <v>#N/A</v>
      </c>
    </row>
    <row r="252" spans="1:4">
      <c r="A252" s="4"/>
      <c r="B252" s="4" t="s">
        <v>105</v>
      </c>
      <c r="C252" s="10" t="e">
        <f>VLOOKUP(A252,'KNVV--BSEG'!D:D,1,0)</f>
        <v>#N/A</v>
      </c>
    </row>
    <row r="253" spans="1:4">
      <c r="A253" s="4"/>
      <c r="B253" s="4" t="s">
        <v>106</v>
      </c>
      <c r="C253" s="10" t="e">
        <f>VLOOKUP(A253,'KNVV--BSEG'!D:D,1,0)</f>
        <v>#N/A</v>
      </c>
    </row>
    <row r="254" spans="1:4">
      <c r="A254" s="4"/>
      <c r="B254" s="4" t="s">
        <v>107</v>
      </c>
      <c r="C254" s="10" t="e">
        <f>VLOOKUP(A254,'KNVV--BSEG'!D:D,1,0)</f>
        <v>#N/A</v>
      </c>
    </row>
    <row r="255" spans="1:4">
      <c r="A255" s="4"/>
      <c r="B255" s="4" t="s">
        <v>108</v>
      </c>
      <c r="C255" s="10" t="e">
        <f>VLOOKUP(A255,'KNVV--BSEG'!D:D,1,0)</f>
        <v>#N/A</v>
      </c>
    </row>
    <row r="256" spans="1:4">
      <c r="A256" s="4"/>
      <c r="B256" s="4" t="s">
        <v>109</v>
      </c>
      <c r="C256" s="10" t="e">
        <f>VLOOKUP(A256,'KNVV--BSEG'!D:D,1,0)</f>
        <v>#N/A</v>
      </c>
    </row>
    <row r="257" spans="1:3">
      <c r="A257" s="4" t="s">
        <v>267</v>
      </c>
      <c r="B257" s="4" t="s">
        <v>104</v>
      </c>
      <c r="C257" s="10" t="e">
        <f>VLOOKUP(A257,'KNVV--BSEG'!D:D,1,0)</f>
        <v>#N/A</v>
      </c>
    </row>
    <row r="258" spans="1:3">
      <c r="A258" s="4"/>
      <c r="B258" s="4" t="s">
        <v>110</v>
      </c>
      <c r="C258" s="10" t="e">
        <f>VLOOKUP(A258,'KNVV--BSEG'!D:D,1,0)</f>
        <v>#N/A</v>
      </c>
    </row>
    <row r="259" spans="1:3">
      <c r="A259" s="4"/>
      <c r="B259" s="4" t="s">
        <v>111</v>
      </c>
      <c r="C259" s="10" t="e">
        <f>VLOOKUP(A259,'KNVV--BSEG'!D:D,1,0)</f>
        <v>#N/A</v>
      </c>
    </row>
    <row r="260" spans="1:3">
      <c r="A260" s="4"/>
      <c r="B260" s="4" t="s">
        <v>112</v>
      </c>
      <c r="C260" s="10" t="e">
        <f>VLOOKUP(A260,'KNVV--BSEG'!D:D,1,0)</f>
        <v>#N/A</v>
      </c>
    </row>
    <row r="261" spans="1:3">
      <c r="A261" s="4"/>
      <c r="B261" s="4" t="s">
        <v>113</v>
      </c>
      <c r="C261" s="10" t="e">
        <f>VLOOKUP(A261,'KNVV--BSEG'!D:D,1,0)</f>
        <v>#N/A</v>
      </c>
    </row>
    <row r="262" spans="1:3">
      <c r="A262" s="4"/>
      <c r="B262" s="4" t="s">
        <v>107</v>
      </c>
      <c r="C262" s="10" t="e">
        <f>VLOOKUP(A262,'KNVV--BSEG'!D:D,1,0)</f>
        <v>#N/A</v>
      </c>
    </row>
    <row r="263" spans="1:3">
      <c r="A263" s="4"/>
      <c r="B263" s="4" t="s">
        <v>110</v>
      </c>
      <c r="C263" s="10" t="e">
        <f>VLOOKUP(A263,'KNVV--BSEG'!D:D,1,0)</f>
        <v>#N/A</v>
      </c>
    </row>
    <row r="264" spans="1:3">
      <c r="A264" s="4"/>
      <c r="B264" s="4" t="s">
        <v>111</v>
      </c>
      <c r="C264" s="10" t="e">
        <f>VLOOKUP(A264,'KNVV--BSEG'!D:D,1,0)</f>
        <v>#N/A</v>
      </c>
    </row>
    <row r="265" spans="1:3">
      <c r="A265" s="4"/>
      <c r="B265" s="4" t="s">
        <v>112</v>
      </c>
      <c r="C265" s="10" t="e">
        <f>VLOOKUP(A265,'KNVV--BSEG'!D:D,1,0)</f>
        <v>#N/A</v>
      </c>
    </row>
    <row r="266" spans="1:3">
      <c r="A266" s="4"/>
      <c r="B266" s="4" t="s">
        <v>114</v>
      </c>
      <c r="C266" s="10" t="e">
        <f>VLOOKUP(A266,'KNVV--BSEG'!D:D,1,0)</f>
        <v>#N/A</v>
      </c>
    </row>
    <row r="267" spans="1:3">
      <c r="A267" s="4" t="s">
        <v>268</v>
      </c>
      <c r="B267" s="4" t="s">
        <v>269</v>
      </c>
      <c r="C267" s="10" t="e">
        <f>VLOOKUP(A267,'KNVV--BSEG'!D:D,1,0)</f>
        <v>#N/A</v>
      </c>
    </row>
    <row r="268" spans="1:3">
      <c r="A268" s="4" t="s">
        <v>270</v>
      </c>
      <c r="B268" s="4" t="s">
        <v>88</v>
      </c>
      <c r="C268" s="10" t="e">
        <f>VLOOKUP(A268,'KNVV--BSEG'!D:D,1,0)</f>
        <v>#N/A</v>
      </c>
    </row>
    <row r="269" spans="1:3">
      <c r="A269" s="4" t="s">
        <v>271</v>
      </c>
      <c r="B269" s="4" t="s">
        <v>120</v>
      </c>
      <c r="C269" s="10" t="e">
        <f>VLOOKUP(A269,'KNVV--BSEG'!D:D,1,0)</f>
        <v>#N/A</v>
      </c>
    </row>
    <row r="270" spans="1:3">
      <c r="A270" s="4" t="s">
        <v>272</v>
      </c>
      <c r="B270" s="4" t="s">
        <v>93</v>
      </c>
      <c r="C270" s="10" t="e">
        <f>VLOOKUP(A270,'KNVV--BSEG'!D:D,1,0)</f>
        <v>#N/A</v>
      </c>
    </row>
    <row r="271" spans="1:3">
      <c r="A271" s="4"/>
      <c r="B271" s="4" t="s">
        <v>91</v>
      </c>
      <c r="C271" s="10" t="e">
        <f>VLOOKUP(A271,'KNVV--BSEG'!D:D,1,0)</f>
        <v>#N/A</v>
      </c>
    </row>
    <row r="272" spans="1:3">
      <c r="A272" s="4" t="s">
        <v>273</v>
      </c>
      <c r="B272" s="4" t="s">
        <v>259</v>
      </c>
      <c r="C272" s="10" t="e">
        <f>VLOOKUP(A272,'KNVV--BSEG'!D:D,1,0)</f>
        <v>#N/A</v>
      </c>
    </row>
    <row r="273" spans="1:4">
      <c r="A273" s="4"/>
      <c r="B273" s="4" t="s">
        <v>146</v>
      </c>
      <c r="C273" s="10" t="e">
        <f>VLOOKUP(A273,'KNVV--BSEG'!D:D,1,0)</f>
        <v>#N/A</v>
      </c>
    </row>
    <row r="274" spans="1:4">
      <c r="A274" s="4" t="s">
        <v>274</v>
      </c>
      <c r="B274" s="4" t="s">
        <v>275</v>
      </c>
      <c r="C274" s="10" t="e">
        <f>VLOOKUP(A274,'KNVV--BSEG'!D:D,1,0)</f>
        <v>#N/A</v>
      </c>
    </row>
    <row r="275" spans="1:4">
      <c r="A275" s="4" t="s">
        <v>276</v>
      </c>
      <c r="B275" s="4" t="s">
        <v>275</v>
      </c>
      <c r="C275" s="10" t="e">
        <f>VLOOKUP(A275,'KNVV--BSEG'!D:D,1,0)</f>
        <v>#N/A</v>
      </c>
    </row>
    <row r="276" spans="1:4">
      <c r="A276" s="7" t="s">
        <v>55</v>
      </c>
      <c r="B276" s="7" t="s">
        <v>275</v>
      </c>
      <c r="C276" s="10" t="e">
        <f>VLOOKUP(A276,'KNVV--BSEG'!D:D,1,0)</f>
        <v>#N/A</v>
      </c>
      <c r="D276" t="str">
        <f t="shared" ref="D276:D277" si="9">B276</f>
        <v>90 d end of month,payment on 2. of following month</v>
      </c>
    </row>
    <row r="277" spans="1:4">
      <c r="A277" s="7" t="s">
        <v>66</v>
      </c>
      <c r="B277" s="7" t="s">
        <v>275</v>
      </c>
      <c r="C277" s="10" t="e">
        <f>VLOOKUP(A277,'KNVV--BSEG'!D:D,1,0)</f>
        <v>#N/A</v>
      </c>
      <c r="D277" t="str">
        <f t="shared" si="9"/>
        <v>90 d end of month,payment on 2. of following month</v>
      </c>
    </row>
    <row r="278" spans="1:4">
      <c r="A278" s="4" t="s">
        <v>277</v>
      </c>
      <c r="B278" s="4" t="s">
        <v>275</v>
      </c>
      <c r="C278" s="10" t="e">
        <f>VLOOKUP(A278,'KNVV--BSEG'!D:D,1,0)</f>
        <v>#N/A</v>
      </c>
    </row>
    <row r="279" spans="1:4">
      <c r="A279" s="7" t="s">
        <v>61</v>
      </c>
      <c r="B279" s="7" t="s">
        <v>146</v>
      </c>
      <c r="C279" s="10" t="e">
        <f>VLOOKUP(A279,'KNVV--BSEG'!D:D,1,0)</f>
        <v>#N/A</v>
      </c>
      <c r="D279" t="str">
        <f>B279</f>
        <v>within 60 days Due net</v>
      </c>
    </row>
    <row r="280" spans="1:4">
      <c r="A280" s="4" t="s">
        <v>278</v>
      </c>
      <c r="B280" s="4" t="s">
        <v>275</v>
      </c>
      <c r="C280" s="10" t="e">
        <f>VLOOKUP(A280,'KNVV--BSEG'!D:D,1,0)</f>
        <v>#N/A</v>
      </c>
    </row>
    <row r="281" spans="1:4">
      <c r="A281" s="4" t="s">
        <v>279</v>
      </c>
      <c r="B281" s="4" t="s">
        <v>137</v>
      </c>
      <c r="C281" s="10" t="e">
        <f>VLOOKUP(A281,'KNVV--BSEG'!D:D,1,0)</f>
        <v>#N/A</v>
      </c>
    </row>
    <row r="282" spans="1:4">
      <c r="A282" s="4" t="s">
        <v>280</v>
      </c>
      <c r="B282" s="4" t="s">
        <v>275</v>
      </c>
      <c r="C282" s="10" t="e">
        <f>VLOOKUP(A282,'KNVV--BSEG'!D:D,1,0)</f>
        <v>#N/A</v>
      </c>
    </row>
    <row r="283" spans="1:4">
      <c r="A283" s="7" t="s">
        <v>15</v>
      </c>
      <c r="B283" s="7" t="s">
        <v>275</v>
      </c>
      <c r="C283" s="10" t="str">
        <f>VLOOKUP(A283,'KNVV--BSEG'!D:D,1,0)</f>
        <v>Z170</v>
      </c>
      <c r="D283" t="str">
        <f>B283</f>
        <v>90 d end of month,payment on 2. of following month</v>
      </c>
    </row>
    <row r="284" spans="1:4">
      <c r="A284" s="4" t="s">
        <v>281</v>
      </c>
      <c r="B284" s="4" t="s">
        <v>282</v>
      </c>
      <c r="C284" s="10" t="e">
        <f>VLOOKUP(A284,'KNVV--BSEG'!D:D,1,0)</f>
        <v>#N/A</v>
      </c>
    </row>
    <row r="285" spans="1:4">
      <c r="A285" s="4"/>
      <c r="B285" s="4" t="s">
        <v>283</v>
      </c>
      <c r="C285" s="10" t="e">
        <f>VLOOKUP(A285,'KNVV--BSEG'!D:D,1,0)</f>
        <v>#N/A</v>
      </c>
    </row>
    <row r="286" spans="1:4">
      <c r="A286" s="4" t="s">
        <v>284</v>
      </c>
      <c r="B286" s="4" t="s">
        <v>91</v>
      </c>
      <c r="C286" s="10" t="e">
        <f>VLOOKUP(A286,'KNVV--BSEG'!D:D,1,0)</f>
        <v>#N/A</v>
      </c>
    </row>
    <row r="287" spans="1:4">
      <c r="A287" s="7" t="s">
        <v>77</v>
      </c>
      <c r="B287" s="7" t="s">
        <v>146</v>
      </c>
      <c r="C287" s="10" t="e">
        <f>VLOOKUP(A287,'KNVV--BSEG'!D:D,1,0)</f>
        <v>#N/A</v>
      </c>
      <c r="D287" t="str">
        <f>B287</f>
        <v>within 60 days Due net</v>
      </c>
    </row>
    <row r="288" spans="1:4">
      <c r="A288" s="4" t="s">
        <v>285</v>
      </c>
      <c r="B288" s="4" t="s">
        <v>130</v>
      </c>
      <c r="C288" s="10" t="e">
        <f>VLOOKUP(A288,'KNVV--BSEG'!D:D,1,0)</f>
        <v>#N/A</v>
      </c>
    </row>
    <row r="289" spans="1:4">
      <c r="A289" s="4" t="s">
        <v>286</v>
      </c>
      <c r="B289" s="4" t="s">
        <v>146</v>
      </c>
      <c r="C289" s="10" t="e">
        <f>VLOOKUP(A289,'KNVV--BSEG'!D:D,1,0)</f>
        <v>#N/A</v>
      </c>
    </row>
    <row r="290" spans="1:4">
      <c r="A290" s="4" t="s">
        <v>287</v>
      </c>
      <c r="B290" s="4" t="s">
        <v>146</v>
      </c>
      <c r="C290" s="10" t="e">
        <f>VLOOKUP(A290,'KNVV--BSEG'!D:D,1,0)</f>
        <v>#N/A</v>
      </c>
    </row>
    <row r="291" spans="1:4">
      <c r="A291" s="4" t="s">
        <v>288</v>
      </c>
      <c r="B291" s="4" t="s">
        <v>102</v>
      </c>
      <c r="C291" s="10" t="e">
        <f>VLOOKUP(A291,'KNVV--BSEG'!D:D,1,0)</f>
        <v>#N/A</v>
      </c>
    </row>
    <row r="292" spans="1:4">
      <c r="A292" s="4" t="s">
        <v>289</v>
      </c>
      <c r="B292" s="4" t="s">
        <v>126</v>
      </c>
      <c r="C292" s="10" t="e">
        <f>VLOOKUP(A292,'KNVV--BSEG'!D:D,1,0)</f>
        <v>#N/A</v>
      </c>
    </row>
    <row r="293" spans="1:4">
      <c r="A293" s="7" t="s">
        <v>44</v>
      </c>
      <c r="B293" s="7" t="s">
        <v>102</v>
      </c>
      <c r="C293" s="10" t="str">
        <f>VLOOKUP(A293,'KNVV--BSEG'!D:D,1,0)</f>
        <v>Z910</v>
      </c>
      <c r="D293" t="str">
        <f>B293&amp;", "&amp;B294&amp;", "&amp;B295</f>
        <v>Before 15 in 2 months Due net, For Invoicing up to End  of Month,   Before 15 in 2 months Due net</v>
      </c>
    </row>
    <row r="294" spans="1:4">
      <c r="A294" s="7"/>
      <c r="B294" s="7" t="s">
        <v>107</v>
      </c>
      <c r="C294" s="10" t="e">
        <f>VLOOKUP(A294,'KNVV--BSEG'!D:D,1,0)</f>
        <v>#N/A</v>
      </c>
    </row>
    <row r="295" spans="1:4">
      <c r="A295" s="7"/>
      <c r="B295" s="7" t="s">
        <v>109</v>
      </c>
      <c r="C295" s="10" t="e">
        <f>VLOOKUP(A295,'KNVV--BSEG'!D:D,1,0)</f>
        <v>#N/A</v>
      </c>
    </row>
    <row r="296" spans="1:4">
      <c r="A296" s="7" t="s">
        <v>71</v>
      </c>
      <c r="B296" s="7" t="s">
        <v>158</v>
      </c>
      <c r="C296" s="10" t="e">
        <f>VLOOKUP(A296,'KNVV--BSEG'!D:D,1,0)</f>
        <v>#N/A</v>
      </c>
      <c r="D296" t="str">
        <f>B296</f>
        <v>within 180 days Due net</v>
      </c>
    </row>
    <row r="297" spans="1:4">
      <c r="A297" s="7" t="s">
        <v>33</v>
      </c>
      <c r="B297" s="7" t="s">
        <v>224</v>
      </c>
      <c r="C297" s="10" t="str">
        <f>VLOOKUP(A297,'KNVV--BSEG'!D:D,1,0)</f>
        <v>ZI02</v>
      </c>
      <c r="D297" t="str">
        <f>B297</f>
        <v>Before 15 in 3 months Due net</v>
      </c>
    </row>
    <row r="298" spans="1:4">
      <c r="A298" s="7" t="s">
        <v>36</v>
      </c>
      <c r="B298" s="7" t="s">
        <v>102</v>
      </c>
      <c r="C298" s="10" t="str">
        <f>VLOOKUP(A298,'KNVV--BSEG'!D:D,1,0)</f>
        <v>ZI03</v>
      </c>
      <c r="D298" t="str">
        <f>B298</f>
        <v>Before 15 in 2 months Due net</v>
      </c>
    </row>
    <row r="299" spans="1:4">
      <c r="A299" s="4" t="s">
        <v>290</v>
      </c>
      <c r="B299" s="4" t="s">
        <v>166</v>
      </c>
      <c r="C299" s="10" t="e">
        <f>VLOOKUP(A299,'KNVV--BSEG'!D:D,1,0)</f>
        <v>#N/A</v>
      </c>
    </row>
    <row r="300" spans="1:4">
      <c r="A300" s="4" t="s">
        <v>291</v>
      </c>
      <c r="B300" s="4" t="s">
        <v>107</v>
      </c>
      <c r="C300" s="10" t="e">
        <f>VLOOKUP(A300,'KNVV--BSEG'!D:D,1,0)</f>
        <v>#N/A</v>
      </c>
    </row>
    <row r="301" spans="1:4">
      <c r="A301" s="4"/>
      <c r="B301" s="4" t="s">
        <v>213</v>
      </c>
      <c r="C301" s="10" t="e">
        <f>VLOOKUP(A301,'KNVV--BSEG'!D:D,1,0)</f>
        <v>#N/A</v>
      </c>
    </row>
    <row r="302" spans="1:4">
      <c r="A302" s="4" t="s">
        <v>292</v>
      </c>
      <c r="B302" s="4" t="s">
        <v>107</v>
      </c>
      <c r="C302" s="10" t="e">
        <f>VLOOKUP(A302,'KNVV--BSEG'!D:D,1,0)</f>
        <v>#N/A</v>
      </c>
    </row>
    <row r="303" spans="1:4">
      <c r="A303" s="4"/>
      <c r="B303" s="4" t="s">
        <v>188</v>
      </c>
      <c r="C303" s="10" t="e">
        <f>VLOOKUP(A303,'KNVV--BSEG'!D:D,1,0)</f>
        <v>#N/A</v>
      </c>
    </row>
    <row r="304" spans="1:4">
      <c r="A304" s="4" t="s">
        <v>293</v>
      </c>
      <c r="B304" s="4" t="s">
        <v>107</v>
      </c>
      <c r="C304" s="10" t="e">
        <f>VLOOKUP(A304,'KNVV--BSEG'!D:D,1,0)</f>
        <v>#N/A</v>
      </c>
    </row>
    <row r="305" spans="1:4">
      <c r="A305" s="4"/>
      <c r="B305" s="4" t="s">
        <v>106</v>
      </c>
      <c r="C305" s="10" t="e">
        <f>VLOOKUP(A305,'KNVV--BSEG'!D:D,1,0)</f>
        <v>#N/A</v>
      </c>
    </row>
    <row r="306" spans="1:4">
      <c r="A306" s="7" t="s">
        <v>68</v>
      </c>
      <c r="B306" s="7" t="s">
        <v>104</v>
      </c>
      <c r="C306" s="10" t="e">
        <f>VLOOKUP(A306,'KNVV--BSEG'!D:D,1,0)</f>
        <v>#N/A</v>
      </c>
      <c r="D306" t="str">
        <f>B306&amp;", "&amp;B307&amp;", "&amp;B308&amp;", "&amp;B309</f>
        <v>For Invoicing up to 15 of Month,   Before End in 2 months Due net, For Invoicing up to End  of Month,   Before End in 3 months Due net</v>
      </c>
    </row>
    <row r="307" spans="1:4">
      <c r="A307" s="7"/>
      <c r="B307" s="7" t="s">
        <v>182</v>
      </c>
      <c r="C307" s="10" t="e">
        <f>VLOOKUP(A307,'KNVV--BSEG'!D:D,1,0)</f>
        <v>#N/A</v>
      </c>
    </row>
    <row r="308" spans="1:4">
      <c r="A308" s="7"/>
      <c r="B308" s="7" t="s">
        <v>107</v>
      </c>
      <c r="C308" s="10" t="e">
        <f>VLOOKUP(A308,'KNVV--BSEG'!D:D,1,0)</f>
        <v>#N/A</v>
      </c>
    </row>
    <row r="309" spans="1:4">
      <c r="A309" s="7"/>
      <c r="B309" s="7" t="s">
        <v>203</v>
      </c>
      <c r="C309" s="10" t="e">
        <f>VLOOKUP(A309,'KNVV--BSEG'!D:D,1,0)</f>
        <v>#N/A</v>
      </c>
    </row>
    <row r="310" spans="1:4">
      <c r="A310" s="1" t="s">
        <v>65</v>
      </c>
      <c r="B310" t="s">
        <v>336</v>
      </c>
      <c r="D310" t="s">
        <v>336</v>
      </c>
    </row>
  </sheetData>
  <autoFilter ref="A1:D309" xr:uid="{A6587F91-C1C6-4CD4-9289-33A04834394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KNVV--BSEG</vt:lpstr>
      <vt:lpstr>PaymentTerms in 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Zhihao Wang</dc:creator>
  <cp:lastModifiedBy>Kamal Hümmer</cp:lastModifiedBy>
  <dcterms:created xsi:type="dcterms:W3CDTF">2015-06-05T18:19:34Z</dcterms:created>
  <dcterms:modified xsi:type="dcterms:W3CDTF">2026-06-29T14:41:12Z</dcterms:modified>
</cp:coreProperties>
</file>